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1345\Downloads\"/>
    </mc:Choice>
  </mc:AlternateContent>
  <xr:revisionPtr revIDLastSave="0" documentId="8_{B48AB264-C40C-4F66-956E-71A5C28F49D6}" xr6:coauthVersionLast="47" xr6:coauthVersionMax="47" xr10:uidLastSave="{00000000-0000-0000-0000-000000000000}"/>
  <bookViews>
    <workbookView xWindow="-108" yWindow="-108" windowWidth="23256" windowHeight="12456" xr2:uid="{63039F29-DF05-4E11-A5CE-8FB05007EDEA}"/>
  </bookViews>
  <sheets>
    <sheet name="4_coin_portfolio_all_tr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R2" i="1"/>
  <c r="S2" i="1" s="1"/>
  <c r="Q3" i="1" s="1"/>
  <c r="R3" i="1" s="1"/>
  <c r="S3" i="1" s="1"/>
  <c r="Q4" i="1" s="1"/>
  <c r="P3" i="1"/>
  <c r="P4" i="1"/>
  <c r="R4" i="1"/>
  <c r="S4" i="1" s="1"/>
  <c r="Q5" i="1" s="1"/>
  <c r="R5" i="1" s="1"/>
  <c r="S5" i="1" s="1"/>
  <c r="Q6" i="1" s="1"/>
  <c r="P5" i="1"/>
  <c r="P6" i="1"/>
  <c r="R6" i="1"/>
  <c r="S6" i="1" s="1"/>
  <c r="Q7" i="1" s="1"/>
  <c r="R7" i="1" s="1"/>
  <c r="S7" i="1" s="1"/>
  <c r="Q8" i="1" s="1"/>
  <c r="R8" i="1" s="1"/>
  <c r="S8" i="1" s="1"/>
  <c r="Q9" i="1" s="1"/>
  <c r="R9" i="1" s="1"/>
  <c r="S9" i="1" s="1"/>
  <c r="Q10" i="1" s="1"/>
  <c r="R10" i="1" s="1"/>
  <c r="S10" i="1" s="1"/>
  <c r="Q11" i="1" s="1"/>
  <c r="R11" i="1" s="1"/>
  <c r="S11" i="1" s="1"/>
  <c r="Q12" i="1" s="1"/>
  <c r="R12" i="1" s="1"/>
  <c r="S12" i="1" s="1"/>
  <c r="Q13" i="1" s="1"/>
  <c r="R13" i="1" s="1"/>
  <c r="S13" i="1" s="1"/>
  <c r="Q14" i="1" s="1"/>
  <c r="R14" i="1" s="1"/>
  <c r="S14" i="1" s="1"/>
  <c r="Q15" i="1" s="1"/>
  <c r="R15" i="1" s="1"/>
  <c r="S15" i="1" s="1"/>
  <c r="Q16" i="1" s="1"/>
  <c r="R16" i="1" s="1"/>
  <c r="S16" i="1" s="1"/>
  <c r="Q17" i="1" s="1"/>
  <c r="R17" i="1" s="1"/>
  <c r="S17" i="1" s="1"/>
  <c r="Q18" i="1" s="1"/>
  <c r="R18" i="1" s="1"/>
  <c r="S18" i="1" s="1"/>
  <c r="Q19" i="1" s="1"/>
  <c r="R19" i="1" s="1"/>
  <c r="S19" i="1" s="1"/>
  <c r="Q20" i="1" s="1"/>
  <c r="R20" i="1" s="1"/>
  <c r="S20" i="1" s="1"/>
  <c r="Q21" i="1" s="1"/>
  <c r="R21" i="1" s="1"/>
  <c r="S21" i="1" s="1"/>
  <c r="Q22" i="1" s="1"/>
  <c r="R22" i="1" s="1"/>
  <c r="S22" i="1" s="1"/>
  <c r="Q23" i="1" s="1"/>
  <c r="R23" i="1" s="1"/>
  <c r="S23" i="1" s="1"/>
  <c r="Q24" i="1" s="1"/>
  <c r="R24" i="1" s="1"/>
  <c r="S24" i="1" s="1"/>
  <c r="Q25" i="1" s="1"/>
  <c r="R25" i="1" s="1"/>
  <c r="S25" i="1" s="1"/>
  <c r="Q26" i="1" s="1"/>
  <c r="R26" i="1" s="1"/>
  <c r="S26" i="1" s="1"/>
  <c r="Q27" i="1" s="1"/>
  <c r="R27" i="1" s="1"/>
  <c r="S27" i="1" s="1"/>
  <c r="Q28" i="1" s="1"/>
  <c r="R28" i="1" s="1"/>
  <c r="S28" i="1" s="1"/>
  <c r="Q29" i="1" s="1"/>
  <c r="R29" i="1" s="1"/>
  <c r="S29" i="1" s="1"/>
  <c r="Q30" i="1" s="1"/>
  <c r="R30" i="1" s="1"/>
  <c r="S30" i="1" s="1"/>
  <c r="Q31" i="1" s="1"/>
  <c r="R31" i="1" s="1"/>
  <c r="S31" i="1" s="1"/>
  <c r="Q32" i="1" s="1"/>
  <c r="R32" i="1" s="1"/>
  <c r="S32" i="1" s="1"/>
  <c r="Q33" i="1" s="1"/>
  <c r="R33" i="1" s="1"/>
  <c r="S33" i="1" s="1"/>
  <c r="Q34" i="1" s="1"/>
  <c r="R34" i="1" s="1"/>
  <c r="S34" i="1" s="1"/>
  <c r="Q35" i="1" s="1"/>
  <c r="R35" i="1" s="1"/>
  <c r="S35" i="1" s="1"/>
  <c r="Q36" i="1" s="1"/>
  <c r="R36" i="1" s="1"/>
  <c r="S36" i="1" s="1"/>
  <c r="Q37" i="1" s="1"/>
  <c r="R37" i="1" s="1"/>
  <c r="S37" i="1" s="1"/>
  <c r="Q38" i="1" s="1"/>
  <c r="R38" i="1" s="1"/>
  <c r="S38" i="1" s="1"/>
  <c r="Q39" i="1" s="1"/>
  <c r="R39" i="1" s="1"/>
  <c r="S39" i="1" s="1"/>
  <c r="Q40" i="1" s="1"/>
  <c r="R40" i="1" s="1"/>
  <c r="S40" i="1" s="1"/>
  <c r="Q41" i="1" s="1"/>
  <c r="R41" i="1" s="1"/>
  <c r="S41" i="1" s="1"/>
  <c r="Q42" i="1" s="1"/>
  <c r="R42" i="1" s="1"/>
  <c r="S42" i="1" s="1"/>
  <c r="Q43" i="1" s="1"/>
  <c r="R43" i="1" s="1"/>
  <c r="S43" i="1" s="1"/>
  <c r="Q44" i="1" s="1"/>
  <c r="R44" i="1" s="1"/>
  <c r="S44" i="1" s="1"/>
  <c r="Q45" i="1" s="1"/>
  <c r="R45" i="1" s="1"/>
  <c r="S45" i="1" s="1"/>
  <c r="Q46" i="1" s="1"/>
  <c r="R46" i="1" s="1"/>
  <c r="S46" i="1" s="1"/>
  <c r="Q47" i="1" s="1"/>
  <c r="R47" i="1" s="1"/>
  <c r="S47" i="1" s="1"/>
  <c r="Q48" i="1" s="1"/>
  <c r="R48" i="1" s="1"/>
  <c r="S48" i="1" s="1"/>
  <c r="Q49" i="1" s="1"/>
  <c r="R49" i="1" s="1"/>
  <c r="S49" i="1" s="1"/>
  <c r="Q50" i="1" s="1"/>
  <c r="R50" i="1" s="1"/>
  <c r="S50" i="1" s="1"/>
  <c r="Q51" i="1" s="1"/>
  <c r="R51" i="1" s="1"/>
  <c r="S51" i="1" s="1"/>
  <c r="Q52" i="1" s="1"/>
  <c r="R52" i="1" s="1"/>
  <c r="S52" i="1" s="1"/>
  <c r="Q53" i="1" s="1"/>
  <c r="R53" i="1" s="1"/>
  <c r="S53" i="1" s="1"/>
  <c r="Q54" i="1" s="1"/>
  <c r="R54" i="1" s="1"/>
  <c r="S54" i="1" s="1"/>
  <c r="Q55" i="1" s="1"/>
  <c r="R55" i="1" s="1"/>
  <c r="S55" i="1" s="1"/>
  <c r="Q56" i="1" s="1"/>
  <c r="R56" i="1" s="1"/>
  <c r="S56" i="1" s="1"/>
  <c r="Q57" i="1" s="1"/>
  <c r="R57" i="1" s="1"/>
  <c r="S57" i="1" s="1"/>
  <c r="Q58" i="1" s="1"/>
  <c r="R58" i="1" s="1"/>
  <c r="S58" i="1" s="1"/>
  <c r="Q59" i="1" s="1"/>
  <c r="R59" i="1" s="1"/>
  <c r="S59" i="1" s="1"/>
  <c r="Q60" i="1" s="1"/>
  <c r="R60" i="1" s="1"/>
  <c r="S60" i="1" s="1"/>
  <c r="Q61" i="1" s="1"/>
  <c r="R61" i="1" s="1"/>
  <c r="S61" i="1" s="1"/>
  <c r="Q62" i="1" s="1"/>
  <c r="R62" i="1" s="1"/>
  <c r="S62" i="1" s="1"/>
  <c r="Q63" i="1" s="1"/>
  <c r="R63" i="1" s="1"/>
  <c r="S63" i="1" s="1"/>
  <c r="Q64" i="1" s="1"/>
  <c r="R64" i="1" s="1"/>
  <c r="S64" i="1" s="1"/>
  <c r="Q65" i="1" s="1"/>
  <c r="R65" i="1" s="1"/>
  <c r="S65" i="1" s="1"/>
  <c r="Q66" i="1" s="1"/>
  <c r="R66" i="1" s="1"/>
  <c r="S66" i="1" s="1"/>
  <c r="Q67" i="1" s="1"/>
  <c r="R67" i="1" s="1"/>
  <c r="S67" i="1" s="1"/>
  <c r="Q68" i="1" s="1"/>
  <c r="R68" i="1" s="1"/>
  <c r="S68" i="1" s="1"/>
  <c r="Q69" i="1" s="1"/>
  <c r="R69" i="1" s="1"/>
  <c r="S69" i="1" s="1"/>
  <c r="Q70" i="1" s="1"/>
  <c r="R70" i="1" s="1"/>
  <c r="S70" i="1" s="1"/>
  <c r="Q71" i="1" s="1"/>
  <c r="R71" i="1" s="1"/>
  <c r="S71" i="1" s="1"/>
  <c r="Q72" i="1" s="1"/>
  <c r="R72" i="1" s="1"/>
  <c r="S72" i="1" s="1"/>
  <c r="Q73" i="1" s="1"/>
  <c r="R73" i="1" s="1"/>
  <c r="S73" i="1" s="1"/>
  <c r="Q74" i="1" s="1"/>
  <c r="R74" i="1" s="1"/>
  <c r="S74" i="1" s="1"/>
  <c r="Q75" i="1" s="1"/>
  <c r="R75" i="1" s="1"/>
  <c r="S75" i="1" s="1"/>
  <c r="Q76" i="1" s="1"/>
  <c r="R76" i="1" s="1"/>
  <c r="S76" i="1" s="1"/>
  <c r="Q77" i="1" s="1"/>
  <c r="R77" i="1" s="1"/>
  <c r="S77" i="1" s="1"/>
  <c r="Q78" i="1" s="1"/>
  <c r="R78" i="1" s="1"/>
  <c r="S78" i="1" s="1"/>
  <c r="Q79" i="1" s="1"/>
  <c r="R79" i="1" s="1"/>
  <c r="S79" i="1" s="1"/>
  <c r="Q80" i="1" s="1"/>
  <c r="R80" i="1" s="1"/>
  <c r="S80" i="1" s="1"/>
  <c r="Q81" i="1" s="1"/>
  <c r="R81" i="1" s="1"/>
  <c r="S81" i="1" s="1"/>
  <c r="Q82" i="1" s="1"/>
  <c r="R82" i="1" s="1"/>
  <c r="S82" i="1" s="1"/>
  <c r="Q83" i="1" s="1"/>
  <c r="R83" i="1" s="1"/>
  <c r="S83" i="1" s="1"/>
  <c r="Q84" i="1" s="1"/>
  <c r="R84" i="1" s="1"/>
  <c r="S84" i="1" s="1"/>
  <c r="Q85" i="1" s="1"/>
  <c r="R85" i="1" s="1"/>
  <c r="S85" i="1" s="1"/>
  <c r="Q86" i="1" s="1"/>
  <c r="R86" i="1" s="1"/>
  <c r="S86" i="1" s="1"/>
  <c r="Q87" i="1" s="1"/>
  <c r="R87" i="1" s="1"/>
  <c r="S87" i="1" s="1"/>
  <c r="Q88" i="1" s="1"/>
  <c r="R88" i="1" s="1"/>
  <c r="S88" i="1" s="1"/>
  <c r="Q89" i="1" s="1"/>
  <c r="R89" i="1" s="1"/>
  <c r="S89" i="1" s="1"/>
  <c r="Q90" i="1" s="1"/>
  <c r="R90" i="1" s="1"/>
  <c r="S90" i="1" s="1"/>
  <c r="Q91" i="1" s="1"/>
  <c r="R91" i="1" s="1"/>
  <c r="S91" i="1" s="1"/>
  <c r="Q92" i="1" s="1"/>
  <c r="R92" i="1" s="1"/>
  <c r="S92" i="1" s="1"/>
  <c r="Q93" i="1" s="1"/>
  <c r="R93" i="1" s="1"/>
  <c r="S93" i="1" s="1"/>
  <c r="Q94" i="1" s="1"/>
  <c r="R94" i="1" s="1"/>
  <c r="S94" i="1" s="1"/>
  <c r="Q95" i="1" s="1"/>
  <c r="R95" i="1" s="1"/>
  <c r="S95" i="1" s="1"/>
  <c r="Q96" i="1" s="1"/>
  <c r="R96" i="1" s="1"/>
  <c r="S96" i="1" s="1"/>
  <c r="Q97" i="1" s="1"/>
  <c r="R97" i="1" s="1"/>
  <c r="S97" i="1" s="1"/>
  <c r="Q98" i="1" s="1"/>
  <c r="R98" i="1" s="1"/>
  <c r="S98" i="1" s="1"/>
  <c r="Q99" i="1" s="1"/>
  <c r="R99" i="1" s="1"/>
  <c r="S99" i="1" s="1"/>
  <c r="Q100" i="1" s="1"/>
  <c r="R100" i="1" s="1"/>
  <c r="S100" i="1" s="1"/>
  <c r="Q101" i="1" s="1"/>
  <c r="R101" i="1" s="1"/>
  <c r="S101" i="1" s="1"/>
  <c r="Q102" i="1" s="1"/>
  <c r="R102" i="1" s="1"/>
  <c r="S102" i="1" s="1"/>
  <c r="Q103" i="1" s="1"/>
  <c r="R103" i="1" s="1"/>
  <c r="S103" i="1" s="1"/>
  <c r="Q104" i="1" s="1"/>
  <c r="R104" i="1" s="1"/>
  <c r="S104" i="1" s="1"/>
  <c r="Q105" i="1" s="1"/>
  <c r="R105" i="1" s="1"/>
  <c r="S105" i="1" s="1"/>
  <c r="Q106" i="1" s="1"/>
  <c r="R106" i="1" s="1"/>
  <c r="S106" i="1" s="1"/>
  <c r="Q107" i="1" s="1"/>
  <c r="R107" i="1" s="1"/>
  <c r="S107" i="1" s="1"/>
  <c r="Q108" i="1" s="1"/>
  <c r="R108" i="1" s="1"/>
  <c r="S108" i="1" s="1"/>
  <c r="Q109" i="1" s="1"/>
  <c r="R109" i="1" s="1"/>
  <c r="S109" i="1" s="1"/>
  <c r="Q110" i="1" s="1"/>
  <c r="R110" i="1" s="1"/>
  <c r="S110" i="1" s="1"/>
  <c r="Q111" i="1" s="1"/>
  <c r="R111" i="1" s="1"/>
  <c r="S111" i="1" s="1"/>
  <c r="Q112" i="1" s="1"/>
  <c r="R112" i="1" s="1"/>
  <c r="S112" i="1" s="1"/>
  <c r="Q113" i="1" s="1"/>
  <c r="R113" i="1" s="1"/>
  <c r="S113" i="1" s="1"/>
  <c r="Q114" i="1" s="1"/>
  <c r="R114" i="1" s="1"/>
  <c r="S114" i="1" s="1"/>
  <c r="Q115" i="1" s="1"/>
  <c r="R115" i="1" s="1"/>
  <c r="S115" i="1" s="1"/>
  <c r="Q116" i="1" s="1"/>
  <c r="R116" i="1" s="1"/>
  <c r="S116" i="1" s="1"/>
  <c r="Q117" i="1" s="1"/>
  <c r="R117" i="1" s="1"/>
  <c r="S117" i="1" s="1"/>
  <c r="Q118" i="1" s="1"/>
  <c r="R118" i="1" s="1"/>
  <c r="S118" i="1" s="1"/>
  <c r="Q119" i="1" s="1"/>
  <c r="R119" i="1" s="1"/>
  <c r="S119" i="1" s="1"/>
  <c r="Q120" i="1" s="1"/>
  <c r="R120" i="1" s="1"/>
  <c r="S120" i="1" s="1"/>
  <c r="Q121" i="1" s="1"/>
  <c r="R121" i="1" s="1"/>
  <c r="S121" i="1" s="1"/>
  <c r="Q122" i="1" s="1"/>
  <c r="R122" i="1" s="1"/>
  <c r="S122" i="1" s="1"/>
  <c r="Q123" i="1" s="1"/>
  <c r="R123" i="1" s="1"/>
  <c r="S123" i="1" s="1"/>
  <c r="Q124" i="1" s="1"/>
  <c r="R124" i="1" s="1"/>
  <c r="S124" i="1" s="1"/>
  <c r="Q125" i="1" s="1"/>
  <c r="R125" i="1" s="1"/>
  <c r="S125" i="1" s="1"/>
  <c r="Q126" i="1" s="1"/>
  <c r="R126" i="1" s="1"/>
  <c r="S126" i="1" s="1"/>
  <c r="Q127" i="1" s="1"/>
  <c r="R127" i="1" s="1"/>
  <c r="S127" i="1" s="1"/>
  <c r="Q128" i="1" s="1"/>
  <c r="R128" i="1" s="1"/>
  <c r="S128" i="1" s="1"/>
  <c r="Q129" i="1" s="1"/>
  <c r="R129" i="1" s="1"/>
  <c r="S129" i="1" s="1"/>
  <c r="Q130" i="1" s="1"/>
  <c r="R130" i="1" s="1"/>
  <c r="S130" i="1" s="1"/>
  <c r="Q131" i="1" s="1"/>
  <c r="R131" i="1" s="1"/>
  <c r="S131" i="1" s="1"/>
  <c r="Q132" i="1" s="1"/>
  <c r="R132" i="1" s="1"/>
  <c r="S132" i="1" s="1"/>
  <c r="Q133" i="1" s="1"/>
  <c r="R133" i="1" s="1"/>
  <c r="S133" i="1" s="1"/>
  <c r="Q134" i="1" s="1"/>
  <c r="R134" i="1" s="1"/>
  <c r="S134" i="1" s="1"/>
  <c r="Q135" i="1" s="1"/>
  <c r="R135" i="1" s="1"/>
  <c r="S135" i="1" s="1"/>
  <c r="Q136" i="1" s="1"/>
  <c r="R136" i="1" s="1"/>
  <c r="S136" i="1" s="1"/>
  <c r="Q137" i="1" s="1"/>
  <c r="R137" i="1" s="1"/>
  <c r="S137" i="1" s="1"/>
  <c r="Q138" i="1" s="1"/>
  <c r="R138" i="1" s="1"/>
  <c r="S138" i="1" s="1"/>
  <c r="Q139" i="1" s="1"/>
  <c r="R139" i="1" s="1"/>
  <c r="S139" i="1" s="1"/>
  <c r="Q140" i="1" s="1"/>
  <c r="R140" i="1" s="1"/>
  <c r="S140" i="1" s="1"/>
  <c r="Q141" i="1" s="1"/>
  <c r="R141" i="1" s="1"/>
  <c r="S141" i="1" s="1"/>
  <c r="Q142" i="1" s="1"/>
  <c r="R142" i="1" s="1"/>
  <c r="S142" i="1" s="1"/>
  <c r="Q143" i="1" s="1"/>
  <c r="R143" i="1" s="1"/>
  <c r="S143" i="1" s="1"/>
  <c r="Q144" i="1" s="1"/>
  <c r="R144" i="1" s="1"/>
  <c r="S144" i="1" s="1"/>
  <c r="Q145" i="1" s="1"/>
  <c r="R145" i="1" s="1"/>
  <c r="S145" i="1" s="1"/>
  <c r="Q146" i="1" s="1"/>
  <c r="R146" i="1" s="1"/>
  <c r="S146" i="1" s="1"/>
  <c r="Q147" i="1" s="1"/>
  <c r="R147" i="1" s="1"/>
  <c r="S147" i="1" s="1"/>
  <c r="Q148" i="1" s="1"/>
  <c r="R148" i="1" s="1"/>
  <c r="S148" i="1" s="1"/>
  <c r="Q149" i="1" s="1"/>
  <c r="R149" i="1" s="1"/>
  <c r="S149" i="1" s="1"/>
  <c r="Q150" i="1" s="1"/>
  <c r="R150" i="1" s="1"/>
  <c r="S150" i="1" s="1"/>
  <c r="Q151" i="1" s="1"/>
  <c r="R151" i="1" s="1"/>
  <c r="S151" i="1" s="1"/>
  <c r="Q152" i="1" s="1"/>
  <c r="R152" i="1" s="1"/>
  <c r="S152" i="1" s="1"/>
  <c r="Q153" i="1" s="1"/>
  <c r="R153" i="1" s="1"/>
  <c r="S153" i="1" s="1"/>
  <c r="Q154" i="1" s="1"/>
  <c r="R154" i="1" s="1"/>
  <c r="S154" i="1" s="1"/>
  <c r="Q155" i="1" s="1"/>
  <c r="R155" i="1" s="1"/>
  <c r="S155" i="1" s="1"/>
  <c r="Q156" i="1" s="1"/>
  <c r="R156" i="1" s="1"/>
  <c r="S156" i="1" s="1"/>
  <c r="Q157" i="1" s="1"/>
  <c r="R157" i="1" s="1"/>
  <c r="S157" i="1" s="1"/>
  <c r="Q158" i="1" s="1"/>
  <c r="R158" i="1" s="1"/>
  <c r="S158" i="1" s="1"/>
  <c r="Q159" i="1" s="1"/>
  <c r="R159" i="1" s="1"/>
  <c r="S159" i="1" s="1"/>
  <c r="Q160" i="1" s="1"/>
  <c r="R160" i="1" s="1"/>
  <c r="S160" i="1" s="1"/>
  <c r="Q161" i="1" s="1"/>
  <c r="R161" i="1" s="1"/>
  <c r="S161" i="1" s="1"/>
  <c r="Q162" i="1" s="1"/>
  <c r="R162" i="1" s="1"/>
  <c r="S162" i="1" s="1"/>
  <c r="Q163" i="1" s="1"/>
  <c r="R163" i="1" s="1"/>
  <c r="S163" i="1" s="1"/>
  <c r="Q164" i="1" s="1"/>
  <c r="R164" i="1" s="1"/>
  <c r="S164" i="1" s="1"/>
  <c r="Q165" i="1" s="1"/>
  <c r="R165" i="1" s="1"/>
  <c r="S165" i="1" s="1"/>
  <c r="Q166" i="1" s="1"/>
  <c r="R166" i="1" s="1"/>
  <c r="S166" i="1" s="1"/>
  <c r="Q167" i="1" s="1"/>
  <c r="R167" i="1" s="1"/>
  <c r="S167" i="1" s="1"/>
  <c r="Q168" i="1" s="1"/>
  <c r="R168" i="1" s="1"/>
  <c r="S168" i="1" s="1"/>
  <c r="Q169" i="1" s="1"/>
  <c r="R169" i="1" s="1"/>
  <c r="S169" i="1" s="1"/>
  <c r="Q170" i="1" s="1"/>
  <c r="R170" i="1" s="1"/>
  <c r="S170" i="1" s="1"/>
  <c r="Q171" i="1" s="1"/>
  <c r="R171" i="1" s="1"/>
  <c r="S171" i="1" s="1"/>
  <c r="Q172" i="1" s="1"/>
  <c r="R172" i="1" s="1"/>
  <c r="S172" i="1" s="1"/>
  <c r="Q173" i="1" s="1"/>
  <c r="R173" i="1" s="1"/>
  <c r="S173" i="1" s="1"/>
  <c r="Q174" i="1" s="1"/>
  <c r="R174" i="1" s="1"/>
  <c r="S174" i="1" s="1"/>
  <c r="Q175" i="1" s="1"/>
  <c r="R175" i="1" s="1"/>
  <c r="S175" i="1" s="1"/>
  <c r="Q176" i="1" s="1"/>
  <c r="R176" i="1" s="1"/>
  <c r="S176" i="1" s="1"/>
  <c r="Q177" i="1" s="1"/>
  <c r="R177" i="1" s="1"/>
  <c r="S177" i="1" s="1"/>
  <c r="Q178" i="1" s="1"/>
  <c r="R178" i="1" s="1"/>
  <c r="S178" i="1" s="1"/>
  <c r="Q179" i="1" s="1"/>
  <c r="R179" i="1" s="1"/>
  <c r="S179" i="1" s="1"/>
  <c r="Q180" i="1" s="1"/>
  <c r="R180" i="1" s="1"/>
  <c r="S180" i="1" s="1"/>
  <c r="Q181" i="1" s="1"/>
  <c r="R181" i="1" s="1"/>
  <c r="S181" i="1" s="1"/>
  <c r="Q182" i="1" s="1"/>
  <c r="R182" i="1" s="1"/>
  <c r="S182" i="1" s="1"/>
  <c r="Q183" i="1" s="1"/>
  <c r="R183" i="1" s="1"/>
  <c r="S183" i="1" s="1"/>
  <c r="Q184" i="1" s="1"/>
  <c r="R184" i="1" s="1"/>
  <c r="S184" i="1" s="1"/>
  <c r="Q185" i="1" s="1"/>
  <c r="R185" i="1" s="1"/>
  <c r="S185" i="1" s="1"/>
  <c r="Q186" i="1" s="1"/>
  <c r="R186" i="1" s="1"/>
  <c r="S186" i="1" s="1"/>
  <c r="Q187" i="1" s="1"/>
  <c r="R187" i="1" s="1"/>
  <c r="S187" i="1" s="1"/>
  <c r="Q188" i="1" s="1"/>
  <c r="R188" i="1" s="1"/>
  <c r="S188" i="1" s="1"/>
  <c r="Q189" i="1" s="1"/>
  <c r="R189" i="1" s="1"/>
  <c r="S189" i="1" s="1"/>
  <c r="Q190" i="1" s="1"/>
  <c r="R190" i="1" s="1"/>
  <c r="S190" i="1" s="1"/>
  <c r="Q191" i="1" s="1"/>
  <c r="R191" i="1" s="1"/>
  <c r="S191" i="1" s="1"/>
  <c r="Q192" i="1" s="1"/>
  <c r="R192" i="1" s="1"/>
  <c r="S192" i="1" s="1"/>
  <c r="Q193" i="1" s="1"/>
  <c r="R193" i="1" s="1"/>
  <c r="S193" i="1" s="1"/>
  <c r="Q194" i="1" s="1"/>
  <c r="R194" i="1" s="1"/>
  <c r="S194" i="1" s="1"/>
  <c r="Q195" i="1" s="1"/>
  <c r="R195" i="1" s="1"/>
  <c r="S195" i="1" s="1"/>
  <c r="Q196" i="1" s="1"/>
  <c r="R196" i="1" s="1"/>
  <c r="S196" i="1" s="1"/>
  <c r="Q197" i="1" s="1"/>
  <c r="R197" i="1" s="1"/>
  <c r="S197" i="1" s="1"/>
  <c r="Q198" i="1" s="1"/>
  <c r="R198" i="1" s="1"/>
  <c r="S198" i="1" s="1"/>
  <c r="Q199" i="1" s="1"/>
  <c r="R199" i="1" s="1"/>
  <c r="S199" i="1" s="1"/>
  <c r="Q200" i="1" s="1"/>
  <c r="R200" i="1" s="1"/>
  <c r="S200" i="1" s="1"/>
  <c r="Q201" i="1" s="1"/>
  <c r="R201" i="1" s="1"/>
  <c r="S201" i="1" s="1"/>
  <c r="Q202" i="1" s="1"/>
  <c r="R202" i="1" s="1"/>
  <c r="S202" i="1" s="1"/>
  <c r="Q203" i="1" s="1"/>
  <c r="R203" i="1" s="1"/>
  <c r="S203" i="1" s="1"/>
  <c r="Q204" i="1" s="1"/>
  <c r="R204" i="1" s="1"/>
  <c r="S204" i="1" s="1"/>
  <c r="Q205" i="1" s="1"/>
  <c r="R205" i="1" s="1"/>
  <c r="S205" i="1" s="1"/>
  <c r="Q206" i="1" s="1"/>
  <c r="R206" i="1" s="1"/>
  <c r="S206" i="1" s="1"/>
  <c r="Q207" i="1" s="1"/>
  <c r="R207" i="1" s="1"/>
  <c r="S207" i="1" s="1"/>
  <c r="Q208" i="1" s="1"/>
  <c r="R208" i="1" s="1"/>
  <c r="S208" i="1" s="1"/>
  <c r="Q209" i="1" s="1"/>
  <c r="R209" i="1" s="1"/>
  <c r="S209" i="1" s="1"/>
  <c r="Q210" i="1" s="1"/>
  <c r="R210" i="1" s="1"/>
  <c r="S210" i="1" s="1"/>
  <c r="Q211" i="1" s="1"/>
  <c r="R211" i="1" s="1"/>
  <c r="S211" i="1" s="1"/>
  <c r="Q212" i="1" s="1"/>
  <c r="R212" i="1" s="1"/>
  <c r="S212" i="1" s="1"/>
  <c r="Q213" i="1" s="1"/>
  <c r="R213" i="1" s="1"/>
  <c r="S213" i="1" s="1"/>
  <c r="Q214" i="1" s="1"/>
  <c r="R214" i="1" s="1"/>
  <c r="S214" i="1" s="1"/>
  <c r="Q215" i="1" s="1"/>
  <c r="R215" i="1" s="1"/>
  <c r="S215" i="1" s="1"/>
  <c r="Q216" i="1" s="1"/>
  <c r="R216" i="1" s="1"/>
  <c r="S216" i="1" s="1"/>
  <c r="Q217" i="1" s="1"/>
  <c r="R217" i="1" s="1"/>
  <c r="S217" i="1" s="1"/>
  <c r="Q218" i="1" s="1"/>
  <c r="R218" i="1" s="1"/>
  <c r="S218" i="1" s="1"/>
  <c r="Q219" i="1" s="1"/>
  <c r="R219" i="1" s="1"/>
  <c r="S219" i="1" s="1"/>
  <c r="Q220" i="1" s="1"/>
  <c r="R220" i="1" s="1"/>
  <c r="S220" i="1" s="1"/>
  <c r="Q221" i="1" s="1"/>
  <c r="R221" i="1" s="1"/>
  <c r="S221" i="1" s="1"/>
  <c r="Q222" i="1" s="1"/>
  <c r="R222" i="1" s="1"/>
  <c r="S222" i="1" s="1"/>
  <c r="Q223" i="1" s="1"/>
  <c r="R223" i="1" s="1"/>
  <c r="S223" i="1" s="1"/>
  <c r="Q224" i="1" s="1"/>
  <c r="R224" i="1" s="1"/>
  <c r="S224" i="1" s="1"/>
  <c r="Q225" i="1" s="1"/>
  <c r="R225" i="1" s="1"/>
  <c r="S225" i="1" s="1"/>
  <c r="Q226" i="1" s="1"/>
  <c r="R226" i="1" s="1"/>
  <c r="S226" i="1" s="1"/>
  <c r="Q227" i="1" s="1"/>
  <c r="R227" i="1" s="1"/>
  <c r="S227" i="1" s="1"/>
  <c r="Q228" i="1" s="1"/>
  <c r="R228" i="1" s="1"/>
  <c r="S228" i="1" s="1"/>
  <c r="Q229" i="1" s="1"/>
  <c r="R229" i="1" s="1"/>
  <c r="S229" i="1" s="1"/>
  <c r="Q230" i="1" s="1"/>
  <c r="R230" i="1" s="1"/>
  <c r="S230" i="1" s="1"/>
  <c r="Q231" i="1" s="1"/>
  <c r="R231" i="1" s="1"/>
  <c r="S231" i="1" s="1"/>
  <c r="Q232" i="1" s="1"/>
  <c r="R232" i="1" s="1"/>
  <c r="S232" i="1" s="1"/>
  <c r="Q233" i="1" s="1"/>
  <c r="R233" i="1" s="1"/>
  <c r="S233" i="1" s="1"/>
  <c r="Q234" i="1" s="1"/>
  <c r="R234" i="1" s="1"/>
  <c r="S234" i="1" s="1"/>
  <c r="Q235" i="1" s="1"/>
  <c r="R235" i="1" s="1"/>
  <c r="S235" i="1" s="1"/>
  <c r="Q236" i="1" s="1"/>
  <c r="R236" i="1" s="1"/>
  <c r="S236" i="1" s="1"/>
  <c r="Q237" i="1" s="1"/>
  <c r="R237" i="1" s="1"/>
  <c r="S237" i="1" s="1"/>
  <c r="Q238" i="1" s="1"/>
  <c r="R238" i="1" s="1"/>
  <c r="S238" i="1" s="1"/>
  <c r="Q239" i="1" s="1"/>
  <c r="R239" i="1" s="1"/>
  <c r="S239" i="1" s="1"/>
  <c r="Q240" i="1" s="1"/>
  <c r="R240" i="1" s="1"/>
  <c r="S240" i="1" s="1"/>
  <c r="Q241" i="1" s="1"/>
  <c r="R241" i="1" s="1"/>
  <c r="S241" i="1" s="1"/>
  <c r="Q242" i="1" s="1"/>
  <c r="R242" i="1" s="1"/>
  <c r="S242" i="1" s="1"/>
  <c r="Q243" i="1" s="1"/>
  <c r="R243" i="1" s="1"/>
  <c r="S243" i="1" s="1"/>
  <c r="Q244" i="1" s="1"/>
  <c r="R244" i="1" s="1"/>
  <c r="S244" i="1" s="1"/>
  <c r="Q245" i="1" s="1"/>
  <c r="R245" i="1" s="1"/>
  <c r="S245" i="1" s="1"/>
  <c r="Q246" i="1" s="1"/>
  <c r="R246" i="1" s="1"/>
  <c r="S246" i="1" s="1"/>
  <c r="Q247" i="1" s="1"/>
  <c r="R247" i="1" s="1"/>
  <c r="S247" i="1" s="1"/>
  <c r="Q248" i="1" s="1"/>
  <c r="R248" i="1" s="1"/>
  <c r="S248" i="1" s="1"/>
  <c r="Q249" i="1" s="1"/>
  <c r="R249" i="1" s="1"/>
  <c r="S249" i="1" s="1"/>
  <c r="Q250" i="1" s="1"/>
  <c r="R250" i="1" s="1"/>
  <c r="S250" i="1" s="1"/>
  <c r="Q251" i="1" s="1"/>
  <c r="R251" i="1" s="1"/>
  <c r="S251" i="1" s="1"/>
  <c r="Q252" i="1" s="1"/>
  <c r="R252" i="1" s="1"/>
  <c r="S252" i="1" s="1"/>
  <c r="Q253" i="1" s="1"/>
  <c r="R253" i="1" s="1"/>
  <c r="S253" i="1" s="1"/>
  <c r="Q254" i="1" s="1"/>
  <c r="R254" i="1" s="1"/>
  <c r="S254" i="1" s="1"/>
  <c r="Q255" i="1" s="1"/>
  <c r="R255" i="1" s="1"/>
  <c r="S255" i="1" s="1"/>
  <c r="Q256" i="1" s="1"/>
  <c r="R256" i="1" s="1"/>
  <c r="S256" i="1" s="1"/>
  <c r="Q257" i="1" s="1"/>
  <c r="R257" i="1" s="1"/>
  <c r="S257" i="1" s="1"/>
  <c r="Q258" i="1" s="1"/>
  <c r="R258" i="1" s="1"/>
  <c r="S258" i="1" s="1"/>
  <c r="Q259" i="1" s="1"/>
  <c r="R259" i="1" s="1"/>
  <c r="S259" i="1" s="1"/>
  <c r="Q260" i="1" s="1"/>
  <c r="R260" i="1" s="1"/>
  <c r="S260" i="1" s="1"/>
  <c r="Q261" i="1" s="1"/>
  <c r="R261" i="1" s="1"/>
  <c r="S261" i="1" s="1"/>
  <c r="Q262" i="1" s="1"/>
  <c r="R262" i="1" s="1"/>
  <c r="S262" i="1" s="1"/>
  <c r="Q263" i="1" s="1"/>
  <c r="R263" i="1" s="1"/>
  <c r="S263" i="1" s="1"/>
  <c r="Q264" i="1" s="1"/>
  <c r="R264" i="1" s="1"/>
  <c r="S264" i="1" s="1"/>
  <c r="Q265" i="1" s="1"/>
  <c r="R265" i="1" s="1"/>
  <c r="S265" i="1" s="1"/>
  <c r="Q266" i="1" s="1"/>
  <c r="R266" i="1" s="1"/>
  <c r="S266" i="1" s="1"/>
  <c r="Q267" i="1" s="1"/>
  <c r="R267" i="1" s="1"/>
  <c r="S267" i="1" s="1"/>
  <c r="Q268" i="1" s="1"/>
  <c r="R268" i="1" s="1"/>
  <c r="S268" i="1" s="1"/>
  <c r="Q269" i="1" s="1"/>
  <c r="R269" i="1" s="1"/>
  <c r="S269" i="1" s="1"/>
  <c r="Q270" i="1" s="1"/>
  <c r="R270" i="1" s="1"/>
  <c r="S270" i="1" s="1"/>
  <c r="Q271" i="1" s="1"/>
  <c r="R271" i="1" s="1"/>
  <c r="S271" i="1" s="1"/>
  <c r="Q272" i="1" s="1"/>
  <c r="R272" i="1" s="1"/>
  <c r="S272" i="1" s="1"/>
  <c r="Q273" i="1" s="1"/>
  <c r="R273" i="1" s="1"/>
  <c r="S273" i="1" s="1"/>
  <c r="Q274" i="1" s="1"/>
  <c r="R274" i="1" s="1"/>
  <c r="S274" i="1" s="1"/>
  <c r="Q275" i="1" s="1"/>
  <c r="R275" i="1" s="1"/>
  <c r="S275" i="1" s="1"/>
  <c r="Q276" i="1" s="1"/>
  <c r="R276" i="1" s="1"/>
  <c r="S276" i="1" s="1"/>
  <c r="Q277" i="1" s="1"/>
  <c r="R277" i="1" s="1"/>
  <c r="S277" i="1" s="1"/>
  <c r="Q278" i="1" s="1"/>
  <c r="R278" i="1" s="1"/>
  <c r="S278" i="1" s="1"/>
  <c r="Q279" i="1" s="1"/>
  <c r="R279" i="1" s="1"/>
  <c r="S279" i="1" s="1"/>
  <c r="Q280" i="1" s="1"/>
  <c r="R280" i="1" s="1"/>
  <c r="S280" i="1" s="1"/>
  <c r="Q281" i="1" s="1"/>
  <c r="R281" i="1" s="1"/>
  <c r="S281" i="1" s="1"/>
  <c r="Q282" i="1" s="1"/>
  <c r="R282" i="1" s="1"/>
  <c r="S282" i="1" s="1"/>
  <c r="Q283" i="1" s="1"/>
  <c r="R283" i="1" s="1"/>
  <c r="S283" i="1" s="1"/>
  <c r="Q284" i="1" s="1"/>
  <c r="R284" i="1" s="1"/>
  <c r="S284" i="1" s="1"/>
  <c r="Q285" i="1" s="1"/>
  <c r="R285" i="1" s="1"/>
  <c r="S285" i="1" s="1"/>
  <c r="Q286" i="1" s="1"/>
  <c r="R286" i="1" s="1"/>
  <c r="S286" i="1" s="1"/>
  <c r="Q287" i="1" s="1"/>
  <c r="R287" i="1" s="1"/>
  <c r="S287" i="1" s="1"/>
  <c r="Q288" i="1" s="1"/>
  <c r="R288" i="1" s="1"/>
  <c r="S288" i="1" s="1"/>
  <c r="Q289" i="1" s="1"/>
  <c r="R289" i="1" s="1"/>
  <c r="S289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</calcChain>
</file>

<file path=xl/sharedStrings.xml><?xml version="1.0" encoding="utf-8"?>
<sst xmlns="http://schemas.openxmlformats.org/spreadsheetml/2006/main" count="4056" uniqueCount="2630">
  <si>
    <t>1266.7292723548778</t>
  </si>
  <si>
    <t>1123.0314255338544</t>
  </si>
  <si>
    <t>TP</t>
  </si>
  <si>
    <t>143.69784682102332</t>
  </si>
  <si>
    <t>2435.5567257800562</t>
  </si>
  <si>
    <t>2.3054922384822953</t>
  </si>
  <si>
    <t>0.12719180285714285</t>
  </si>
  <si>
    <t>0.13843</t>
  </si>
  <si>
    <t>0.13531042857142858</t>
  </si>
  <si>
    <t>0.1348</t>
  </si>
  <si>
    <t>73.92499218821405</t>
  </si>
  <si>
    <t>DOGE</t>
  </si>
  <si>
    <t>943.6290348658774</t>
  </si>
  <si>
    <t>852.1392310296786</t>
  </si>
  <si>
    <t>91.48980383619876</t>
  </si>
  <si>
    <t>1158.098782736693</t>
  </si>
  <si>
    <t>3.6790438075411664</t>
  </si>
  <si>
    <t>0.07323331428571428</t>
  </si>
  <si>
    <t>0.08253</t>
  </si>
  <si>
    <t>0.07960142857142856</t>
  </si>
  <si>
    <t>0.07905</t>
  </si>
  <si>
    <t>75.68585566750251</t>
  </si>
  <si>
    <t>MOODENG</t>
  </si>
  <si>
    <t>896.7056809381556</t>
  </si>
  <si>
    <t>226.32574459569878</t>
  </si>
  <si>
    <t>3836.0295694186234</t>
  </si>
  <si>
    <t>1.168794015675507</t>
  </si>
  <si>
    <t>0.13002388857142855</t>
  </si>
  <si>
    <t>0.13994</t>
  </si>
  <si>
    <t>0.1383232857142857</t>
  </si>
  <si>
    <t>0.13813</t>
  </si>
  <si>
    <t>76.4722846411741</t>
  </si>
  <si>
    <t>1688.277418892961</t>
  </si>
  <si>
    <t>1562.5969051636712</t>
  </si>
  <si>
    <t>125.68051372928974</t>
  </si>
  <si>
    <t>1590.8925788517688</t>
  </si>
  <si>
    <t>4.9110698168303735</t>
  </si>
  <si>
    <t>0.346564</t>
  </si>
  <si>
    <t>0.3952</t>
  </si>
  <si>
    <t>0.3767</t>
  </si>
  <si>
    <t>0.372</t>
  </si>
  <si>
    <t>72.27860291655915</t>
  </si>
  <si>
    <t>FARTCOIN</t>
  </si>
  <si>
    <t>896.7056809381558</t>
  </si>
  <si>
    <t>799.3255267525096</t>
  </si>
  <si>
    <t>97.38015418564615</t>
  </si>
  <si>
    <t>1650.5110878923078</t>
  </si>
  <si>
    <t>2.4214485216613824</t>
  </si>
  <si>
    <t>0.13096670857142856</t>
  </si>
  <si>
    <t>0.1427</t>
  </si>
  <si>
    <t>0.1393262857142857</t>
  </si>
  <si>
    <t>0.13883</t>
  </si>
  <si>
    <t>76.29689291719495</t>
  </si>
  <si>
    <t>816.3475931190789</t>
  </si>
  <si>
    <t>35.79163791059975</t>
  </si>
  <si>
    <t>453.05870772911084</t>
  </si>
  <si>
    <t>9.009291502318755</t>
  </si>
  <si>
    <t>0.07963651428571429</t>
  </si>
  <si>
    <t>0.09436</t>
  </si>
  <si>
    <t>0.08656142857142857</t>
  </si>
  <si>
    <t>0.08581</t>
  </si>
  <si>
    <t>79.99168253721166</t>
  </si>
  <si>
    <t>860.0483055645375</t>
  </si>
  <si>
    <t>SL</t>
  </si>
  <si>
    <t>-43.70071244545864</t>
  </si>
  <si>
    <t>698.297167231766</t>
  </si>
  <si>
    <t>6.158182690143192</t>
  </si>
  <si>
    <t>0.08057070857142858</t>
  </si>
  <si>
    <t>0.09297</t>
  </si>
  <si>
    <t>0.08757685714285714</t>
  </si>
  <si>
    <t>0.08693</t>
  </si>
  <si>
    <t>71.16984784158869</t>
  </si>
  <si>
    <t>715.9750674061083</t>
  </si>
  <si>
    <t>83.3504593464013</t>
  </si>
  <si>
    <t>1412.719649939005</t>
  </si>
  <si>
    <t>2.5340309644486827</t>
  </si>
  <si>
    <t>0.13774451142857144</t>
  </si>
  <si>
    <t>0.15025</t>
  </si>
  <si>
    <t>0.1465367142857143</t>
  </si>
  <si>
    <t>0.14541</t>
  </si>
  <si>
    <t>72.23540490458225</t>
  </si>
  <si>
    <t>1349.887653066523</t>
  </si>
  <si>
    <t>212.70925209714827</t>
  </si>
  <si>
    <t>2692.5221784449145</t>
  </si>
  <si>
    <t>2.5067345106255736</t>
  </si>
  <si>
    <t>0.3512822857142857</t>
  </si>
  <si>
    <t>0.3914</t>
  </si>
  <si>
    <t>0.3818285714285714</t>
  </si>
  <si>
    <t>70.41080105458823</t>
  </si>
  <si>
    <t>825.8161328594771</t>
  </si>
  <si>
    <t>34.23217270506042</t>
  </si>
  <si>
    <t>433.31864183620786</t>
  </si>
  <si>
    <t>9.528970751870297</t>
  </si>
  <si>
    <t>0.08197173714285715</t>
  </si>
  <si>
    <t>0.09759</t>
  </si>
  <si>
    <t>0.08909971428571428</t>
  </si>
  <si>
    <t>0.08825</t>
  </si>
  <si>
    <t>70.74238863606023</t>
  </si>
  <si>
    <t>1430.4312564528875</t>
  </si>
  <si>
    <t>1512.924110039165</t>
  </si>
  <si>
    <t>-82.49285358627756</t>
  </si>
  <si>
    <t>6846.648084319306</t>
  </si>
  <si>
    <t>1.1048648122459912</t>
  </si>
  <si>
    <t>0.10566257142857143</t>
  </si>
  <si>
    <t>0.1187</t>
  </si>
  <si>
    <t>0.11740285714285714</t>
  </si>
  <si>
    <t>0.1167</t>
  </si>
  <si>
    <t>72.40545537211052</t>
  </si>
  <si>
    <t>MELANIA</t>
  </si>
  <si>
    <t>364.548579616664</t>
  </si>
  <si>
    <t>351.42648778944437</t>
  </si>
  <si>
    <t>5956.381148973633</t>
  </si>
  <si>
    <t>0.30601515458717804</t>
  </si>
  <si>
    <t>0.14239724285714284</t>
  </si>
  <si>
    <t>0.15195</t>
  </si>
  <si>
    <t>0.15148642857142855</t>
  </si>
  <si>
    <t>0.15055</t>
  </si>
  <si>
    <t>75.79707425474393</t>
  </si>
  <si>
    <t>762.9359128532618</t>
  </si>
  <si>
    <t>62.880220006215296</t>
  </si>
  <si>
    <t>795.9521519774088</t>
  </si>
  <si>
    <t>4.792599096301683</t>
  </si>
  <si>
    <t>0.08592248000000001</t>
  </si>
  <si>
    <t>0.09787</t>
  </si>
  <si>
    <t>0.093394</t>
  </si>
  <si>
    <t>0.09221</t>
  </si>
  <si>
    <t>71.979105497419</t>
  </si>
  <si>
    <t>1213.160466044575</t>
  </si>
  <si>
    <t>136.72718702194797</t>
  </si>
  <si>
    <t>1730.723886353772</t>
  </si>
  <si>
    <t>3.5047776124486814</t>
  </si>
  <si>
    <t>0.36656085714285713</t>
  </si>
  <si>
    <t>0.4124</t>
  </si>
  <si>
    <t>0.3984357142857143</t>
  </si>
  <si>
    <t>0.3921</t>
  </si>
  <si>
    <t>72.1308855396271</t>
  </si>
  <si>
    <t>364.5485796166639</t>
  </si>
  <si>
    <t>401.16882674955974</t>
  </si>
  <si>
    <t>-36.62024713289583</t>
  </si>
  <si>
    <t>16561.80579541784</t>
  </si>
  <si>
    <t>0.12111264668389941</t>
  </si>
  <si>
    <t>0.13515870571428573</t>
  </si>
  <si>
    <t>0.14396</t>
  </si>
  <si>
    <t>0.14378585714285716</t>
  </si>
  <si>
    <t>0.14344</t>
  </si>
  <si>
    <t>73.47489636706872</t>
  </si>
  <si>
    <t>423.0918830160503</t>
  </si>
  <si>
    <t>-21.923056266490544</t>
  </si>
  <si>
    <t>768.4621156880281</t>
  </si>
  <si>
    <t>2.7528480219043914</t>
  </si>
  <si>
    <t>0.1306540914285714</t>
  </si>
  <si>
    <t>0.14282</t>
  </si>
  <si>
    <t>0.13899371428571428</t>
  </si>
  <si>
    <t>0.13859</t>
  </si>
  <si>
    <t>72.8921160581109</t>
  </si>
  <si>
    <t>1277.834213604978</t>
  </si>
  <si>
    <t>-64.67374756040294</t>
  </si>
  <si>
    <t>782.0368801540322</t>
  </si>
  <si>
    <t>8.169910179640711</t>
  </si>
  <si>
    <t>0.3511771428571429</t>
  </si>
  <si>
    <t>0.4129</t>
  </si>
  <si>
    <t>0.38171428571428573</t>
  </si>
  <si>
    <t>0.3755</t>
  </si>
  <si>
    <t>71.95303372847744</t>
  </si>
  <si>
    <t>446.78584993583496</t>
  </si>
  <si>
    <t>-23.693966919784668</t>
  </si>
  <si>
    <t>1354.6744229929166</t>
  </si>
  <si>
    <t>1.6490525042494701</t>
  </si>
  <si>
    <t>0.14054356285714284</t>
  </si>
  <si>
    <t>0.15198</t>
  </si>
  <si>
    <t>0.14951442857142858</t>
  </si>
  <si>
    <t>0.14919</t>
  </si>
  <si>
    <t>83.9663618522266</t>
  </si>
  <si>
    <t>1198.2954665807508</t>
  </si>
  <si>
    <t>79.53874702422719</t>
  </si>
  <si>
    <t>1006.8195825851542</t>
  </si>
  <si>
    <t>5.950894714939666</t>
  </si>
  <si>
    <t>0.331614</t>
  </si>
  <si>
    <t>0.3819</t>
  </si>
  <si>
    <t>0.36045</t>
  </si>
  <si>
    <t>0.3477</t>
  </si>
  <si>
    <t>73.3237888770111</t>
  </si>
  <si>
    <t>473.090197500559</t>
  </si>
  <si>
    <t>-26.304347564724022</t>
  </si>
  <si>
    <t>2649.8376896960713</t>
  </si>
  <si>
    <t>0.8926776899207383</t>
  </si>
  <si>
    <t>0.13696672857142855</t>
  </si>
  <si>
    <t>0.14701</t>
  </si>
  <si>
    <t>0.1457092857142857</t>
  </si>
  <si>
    <t>0.14527</t>
  </si>
  <si>
    <t>72.280641822579</t>
  </si>
  <si>
    <t>721.6900146695592</t>
  </si>
  <si>
    <t>791.2340953696058</t>
  </si>
  <si>
    <t>7992.2635895919775</t>
  </si>
  <si>
    <t>0.4514928759415473</t>
  </si>
  <si>
    <t>0.11333828571428572</t>
  </si>
  <si>
    <t>0.1265</t>
  </si>
  <si>
    <t>0.12593142857142858</t>
  </si>
  <si>
    <t>0.1252</t>
  </si>
  <si>
    <t>72.61859894119598</t>
  </si>
  <si>
    <t>1262.9573809654923</t>
  </si>
  <si>
    <t>-64.66191438474159</t>
  </si>
  <si>
    <t>1514.0453364669722</t>
  </si>
  <si>
    <t>4.170804369414082</t>
  </si>
  <si>
    <t>0.27793200000000007</t>
  </si>
  <si>
    <t>0.3147</t>
  </si>
  <si>
    <t>0.30210000000000004</t>
  </si>
  <si>
    <t>0.2933</t>
  </si>
  <si>
    <t>74.6191096337055</t>
  </si>
  <si>
    <t>701.1609136296244</t>
  </si>
  <si>
    <t>61.774999223637444</t>
  </si>
  <si>
    <t>781.9620154890815</t>
  </si>
  <si>
    <t>4.4833438181206295</t>
  </si>
  <si>
    <t>0.07186829714285715</t>
  </si>
  <si>
    <t>0.08162</t>
  </si>
  <si>
    <t>0.07811771428571429</t>
  </si>
  <si>
    <t>0.07756</t>
  </si>
  <si>
    <t>79.20496842686875</t>
  </si>
  <si>
    <t>721.6900146695591</t>
  </si>
  <si>
    <t>612.7933362028953</t>
  </si>
  <si>
    <t>108.89667846666389</t>
  </si>
  <si>
    <t>1099.966449158221</t>
  </si>
  <si>
    <t>2.7855092156304035</t>
  </si>
  <si>
    <t>0.1173317142857143</t>
  </si>
  <si>
    <t>0.134</t>
  </si>
  <si>
    <t>0.13036857142857144</t>
  </si>
  <si>
    <t>0.1297</t>
  </si>
  <si>
    <t>72.54342311684013</t>
  </si>
  <si>
    <t>1332.2053322626014</t>
  </si>
  <si>
    <t>-69.247951297109</t>
  </si>
  <si>
    <t>2637.684683978928</t>
  </si>
  <si>
    <t>2.5253309092521614</t>
  </si>
  <si>
    <t>0.29639114285714285</t>
  </si>
  <si>
    <t>0.3303</t>
  </si>
  <si>
    <t>0.3221642857142857</t>
  </si>
  <si>
    <t>0.3186</t>
  </si>
  <si>
    <t>71.9671198295327</t>
  </si>
  <si>
    <t>1206.2837832895257</t>
  </si>
  <si>
    <t>125.92154897307563</t>
  </si>
  <si>
    <t>1593.9436578870334</t>
  </si>
  <si>
    <t>3.7839599201661933</t>
  </si>
  <si>
    <t>0.3226702857142857</t>
  </si>
  <si>
    <t>0.364</t>
  </si>
  <si>
    <t>0.3507285714285714</t>
  </si>
  <si>
    <t>0.3419</t>
  </si>
  <si>
    <t>70.47326948379731</t>
  </si>
  <si>
    <t>740.5151370388955</t>
  </si>
  <si>
    <t>-39.35422340927121</t>
  </si>
  <si>
    <t>2328.4665573264388</t>
  </si>
  <si>
    <t>1.590134792163732</t>
  </si>
  <si>
    <t>0.07260193142857144</t>
  </si>
  <si>
    <t>0.08017</t>
  </si>
  <si>
    <t>0.07891514285714286</t>
  </si>
  <si>
    <t>0.07825</t>
  </si>
  <si>
    <t>71.09550682693168</t>
  </si>
  <si>
    <t>781.5739148186358</t>
  </si>
  <si>
    <t>-41.05877777974029</t>
  </si>
  <si>
    <t>1980.082038808496</t>
  </si>
  <si>
    <t>1.9735897288602846</t>
  </si>
  <si>
    <t>0.0732130742857143</t>
  </si>
  <si>
    <t>0.08115</t>
  </si>
  <si>
    <t>0.07957942857142858</t>
  </si>
  <si>
    <t>0.079</t>
  </si>
  <si>
    <t>74.04123536456227</t>
  </si>
  <si>
    <t>396.90579615384723</t>
  </si>
  <si>
    <t>76.18440134671174</t>
  </si>
  <si>
    <t>1291.2610397747753</t>
  </si>
  <si>
    <t>1.5368921694682143</t>
  </si>
  <si>
    <t>0.14506845428571427</t>
  </si>
  <si>
    <t>0.1567</t>
  </si>
  <si>
    <t>0.15432814285714286</t>
  </si>
  <si>
    <t>0.15393</t>
  </si>
  <si>
    <t>74.46088963160477</t>
  </si>
  <si>
    <t>823.9991891587508</t>
  </si>
  <si>
    <t>-42.42527434011506</t>
  </si>
  <si>
    <t>1225.3148821775133</t>
  </si>
  <si>
    <t>3.3623977034148878</t>
  </si>
  <si>
    <t>0.07361787428571429</t>
  </si>
  <si>
    <t>0.08271</t>
  </si>
  <si>
    <t>0.08001942857142857</t>
  </si>
  <si>
    <t>0.07944</t>
  </si>
  <si>
    <t>71.82034590561739</t>
  </si>
  <si>
    <t>868.3487950756227</t>
  </si>
  <si>
    <t>-44.349605916871816</t>
  </si>
  <si>
    <t>932.1661630906784</t>
  </si>
  <si>
    <t>4.657693174554504</t>
  </si>
  <si>
    <t>0.07114202285714286</t>
  </si>
  <si>
    <t>0.08093</t>
  </si>
  <si>
    <t>0.07732828571428571</t>
  </si>
  <si>
    <t>0.07607</t>
  </si>
  <si>
    <t>73.58449961747328</t>
  </si>
  <si>
    <t>1123.6272381991912</t>
  </si>
  <si>
    <t>82.65654509033455</t>
  </si>
  <si>
    <t>1046.2853808903108</t>
  </si>
  <si>
    <t>5.369602112012061</t>
  </si>
  <si>
    <t>0.2787862857142857</t>
  </si>
  <si>
    <t>0.3193</t>
  </si>
  <si>
    <t>0.3030285714285714</t>
  </si>
  <si>
    <t>0.2956</t>
  </si>
  <si>
    <t>83.09403236423415</t>
  </si>
  <si>
    <t>1184.1768310761856</t>
  </si>
  <si>
    <t>-60.54959287699444</t>
  </si>
  <si>
    <t>1340.7513231851524</t>
  </si>
  <si>
    <t>4.416094210009799</t>
  </si>
  <si>
    <t>0.2544588571428572</t>
  </si>
  <si>
    <t>0.2888</t>
  </si>
  <si>
    <t>0.2765857142857143</t>
  </si>
  <si>
    <t>0.273</t>
  </si>
  <si>
    <t>70.41356082034038</t>
  </si>
  <si>
    <t>925.9231793677639</t>
  </si>
  <si>
    <t>-57.57438429214117</t>
  </si>
  <si>
    <t>11278.225323752971</t>
  </si>
  <si>
    <t>0.41049152361661245</t>
  </si>
  <si>
    <t>0.06902944</t>
  </si>
  <si>
    <t>0.07534</t>
  </si>
  <si>
    <t>0.07503199999999999</t>
  </si>
  <si>
    <t>0.07458</t>
  </si>
  <si>
    <t>71.33130882480016</t>
  </si>
  <si>
    <t>420.66782930380543</t>
  </si>
  <si>
    <t>-23.762033149958175</t>
  </si>
  <si>
    <t>2728.6416847678993</t>
  </si>
  <si>
    <t>0.7708374310414229</t>
  </si>
  <si>
    <t>0.14337282857142858</t>
  </si>
  <si>
    <t>0.1537</t>
  </si>
  <si>
    <t>0.15252428571428572</t>
  </si>
  <si>
    <t>0.15204</t>
  </si>
  <si>
    <t>74.13716657091508</t>
  </si>
  <si>
    <t>444.0530655806617</t>
  </si>
  <si>
    <t>-23.385236276856308</t>
  </si>
  <si>
    <t>1182.5829978232211</t>
  </si>
  <si>
    <t>1.8774710375425214</t>
  </si>
  <si>
    <t>0.13623326</t>
  </si>
  <si>
    <t>0.14765</t>
  </si>
  <si>
    <t>0.144929</t>
  </si>
  <si>
    <t>0.14444</t>
  </si>
  <si>
    <t>75.27946178453173</t>
  </si>
  <si>
    <t>650.9738570491871</t>
  </si>
  <si>
    <t>-38.180520846291856</t>
  </si>
  <si>
    <t>5631.827993832495</t>
  </si>
  <si>
    <t>0.5779418847327006</t>
  </si>
  <si>
    <t>0.112122</t>
  </si>
  <si>
    <t>0.1253</t>
  </si>
  <si>
    <t>0.12458</t>
  </si>
  <si>
    <t>0.1237</t>
  </si>
  <si>
    <t>77.85572774501192</t>
  </si>
  <si>
    <t>1248.8317151401402</t>
  </si>
  <si>
    <t>-64.65488406395457</t>
  </si>
  <si>
    <t>2213.2983069475513</t>
  </si>
  <si>
    <t>2.8212006289889917</t>
  </si>
  <si>
    <t>0.21313114285714285</t>
  </si>
  <si>
    <t>0.2382</t>
  </si>
  <si>
    <t>0.2316642857142857</t>
  </si>
  <si>
    <t>0.2267</t>
  </si>
  <si>
    <t>73.51488811431778</t>
  </si>
  <si>
    <t>1316.3197300338984</t>
  </si>
  <si>
    <t>-67.4880148937583</t>
  </si>
  <si>
    <t>1672.028392063378</t>
  </si>
  <si>
    <t>3.936295987203558</t>
  </si>
  <si>
    <t>0.18898114285714288</t>
  </si>
  <si>
    <t>0.2135</t>
  </si>
  <si>
    <t>0.20541428571428572</t>
  </si>
  <si>
    <t>0.2006</t>
  </si>
  <si>
    <t>72.21844715721964</t>
  </si>
  <si>
    <t>389.7159490881967</t>
  </si>
  <si>
    <t>54.337116492465036</t>
  </si>
  <si>
    <t>920.9680761434752</t>
  </si>
  <si>
    <t>2.1157951029101896</t>
  </si>
  <si>
    <t>0.14689715714285714</t>
  </si>
  <si>
    <t>0.15958</t>
  </si>
  <si>
    <t>0.15627357142857143</t>
  </si>
  <si>
    <t>0.15526</t>
  </si>
  <si>
    <t>72.44974492856797</t>
  </si>
  <si>
    <t>1391.4143632167038</t>
  </si>
  <si>
    <t>-75.09463318280547</t>
  </si>
  <si>
    <t>5523.915021970268</t>
  </si>
  <si>
    <t>1.259445843828726</t>
  </si>
  <si>
    <t>0.27392999999999995</t>
  </si>
  <si>
    <t>0.3015</t>
  </si>
  <si>
    <t>0.29774999999999996</t>
  </si>
  <si>
    <t>0.294</t>
  </si>
  <si>
    <t>70.02040680896128</t>
  </si>
  <si>
    <t>1466.7040861137073</t>
  </si>
  <si>
    <t>-75.2897228970035</t>
  </si>
  <si>
    <t>1954.5185913181379</t>
  </si>
  <si>
    <t>3.752085277235849</t>
  </si>
  <si>
    <t>0.23241171428571428</t>
  </si>
  <si>
    <t>0.2621</t>
  </si>
  <si>
    <t>0.25262142857142855</t>
  </si>
  <si>
    <t>0.2487</t>
  </si>
  <si>
    <t>77.71769403195759</t>
  </si>
  <si>
    <t>1252.9952855350527</t>
  </si>
  <si>
    <t>213.7088005786546</t>
  </si>
  <si>
    <t>2705.1746908690457</t>
  </si>
  <si>
    <t>2.3159230525192522</t>
  </si>
  <si>
    <t>0.2278511428571429</t>
  </si>
  <si>
    <t>0.2534</t>
  </si>
  <si>
    <t>0.24766428571428573</t>
  </si>
  <si>
    <t>0.245</t>
  </si>
  <si>
    <t>70.1040159216989</t>
  </si>
  <si>
    <t>607.3564084412682</t>
  </si>
  <si>
    <t>43.61744860791898</t>
  </si>
  <si>
    <t>440.58028896887856</t>
  </si>
  <si>
    <t>6.892687027178493</t>
  </si>
  <si>
    <t>0.12848400000000001</t>
  </si>
  <si>
    <t>0.1526</t>
  </si>
  <si>
    <t>0.14276</t>
  </si>
  <si>
    <t>0.1414</t>
  </si>
  <si>
    <t>75.59607437700846</t>
  </si>
  <si>
    <t>540.360310041576</t>
  </si>
  <si>
    <t>66.99609839969214</t>
  </si>
  <si>
    <t>676.7282666635571</t>
  </si>
  <si>
    <t>3.9924467224170352</t>
  </si>
  <si>
    <t>0.13345200000000002</t>
  </si>
  <si>
    <t>0.1542</t>
  </si>
  <si>
    <t>0.14828000000000002</t>
  </si>
  <si>
    <t>0.1466</t>
  </si>
  <si>
    <t>73.38924920800008</t>
  </si>
  <si>
    <t>569.2911374399961</t>
  </si>
  <si>
    <t>-28.930827398420103</t>
  </si>
  <si>
    <t>466.2705264203002</t>
  </si>
  <si>
    <t>6.104730035271758</t>
  </si>
  <si>
    <t>0.1421614285714286</t>
  </si>
  <si>
    <t>0.1676</t>
  </si>
  <si>
    <t>0.15795714285714288</t>
  </si>
  <si>
    <t>0.1531</t>
  </si>
  <si>
    <t>72.91225932485712</t>
  </si>
  <si>
    <t>977.7711618819435</t>
  </si>
  <si>
    <t>-51.84798251417963</t>
  </si>
  <si>
    <t>2959.424420082447</t>
  </si>
  <si>
    <t>1.6519617045241246</t>
  </si>
  <si>
    <t>0.08821512000000001</t>
  </si>
  <si>
    <t>0.09747</t>
  </si>
  <si>
    <t>0.095886</t>
  </si>
  <si>
    <t>0.09511</t>
  </si>
  <si>
    <t>70.0171210676548</t>
  </si>
  <si>
    <t>315.52694158760625</t>
  </si>
  <si>
    <t>74.18900750059044</t>
  </si>
  <si>
    <t>1257.4408050947534</t>
  </si>
  <si>
    <t>1.2546393448868156</t>
  </si>
  <si>
    <t>0.16567379142857142</t>
  </si>
  <si>
    <t>0.17846</t>
  </si>
  <si>
    <t>0.1762487142857143</t>
  </si>
  <si>
    <t>0.17562</t>
  </si>
  <si>
    <t>76.55391859943961</t>
  </si>
  <si>
    <t>1041.046216116698</t>
  </si>
  <si>
    <t>211.94906941835484</t>
  </si>
  <si>
    <t>2682.8996128905674</t>
  </si>
  <si>
    <t>1.9401512660309164</t>
  </si>
  <si>
    <t>0.279772</t>
  </si>
  <si>
    <t>0.31</t>
  </si>
  <si>
    <t>0.3041</t>
  </si>
  <si>
    <t>0.3006</t>
  </si>
  <si>
    <t>71.34568019182925</t>
  </si>
  <si>
    <t>300.7949892352638</t>
  </si>
  <si>
    <t>14.731952352342443</t>
  </si>
  <si>
    <t>249.69410766682108</t>
  </si>
  <si>
    <t>6.023269672759541</t>
  </si>
  <si>
    <t>0.1651731742857143</t>
  </si>
  <si>
    <t>0.1863</t>
  </si>
  <si>
    <t>0.17571614285714288</t>
  </si>
  <si>
    <t>0.17491</t>
  </si>
  <si>
    <t>77.62779661043096</t>
  </si>
  <si>
    <t>999.5816156592692</t>
  </si>
  <si>
    <t>41.46460045742869</t>
  </si>
  <si>
    <t>524.8683602206163</t>
  </si>
  <si>
    <t>9.522212533816273</t>
  </si>
  <si>
    <t>0.2939202857142857</t>
  </si>
  <si>
    <t>0.3499</t>
  </si>
  <si>
    <t>0.3194785714285714</t>
  </si>
  <si>
    <t>0.3137</t>
  </si>
  <si>
    <t>71.28322457858788</t>
  </si>
  <si>
    <t>542.4043037227009</t>
  </si>
  <si>
    <t>26.886833717295183</t>
  </si>
  <si>
    <t>271.5841789625776</t>
  </si>
  <si>
    <t>9.985933381587747</t>
  </si>
  <si>
    <t>0.1882877142857143</t>
  </si>
  <si>
    <t>0.2301</t>
  </si>
  <si>
    <t>0.20920857142857144</t>
  </si>
  <si>
    <t>0.1957</t>
  </si>
  <si>
    <t>75.96432418014038</t>
  </si>
  <si>
    <t>572.4182129431525</t>
  </si>
  <si>
    <t>-30.013909220451627</t>
  </si>
  <si>
    <t>1392.998573293997</t>
  </si>
  <si>
    <t>2.054625984251966</t>
  </si>
  <si>
    <t>0.10450285714285715</t>
  </si>
  <si>
    <t>0.1185</t>
  </si>
  <si>
    <t>0.11611428571428571</t>
  </si>
  <si>
    <t>0.1148</t>
  </si>
  <si>
    <t>73.11295411379174</t>
  </si>
  <si>
    <t>1053.407840998963</t>
  </si>
  <si>
    <t>-53.826225339693686</t>
  </si>
  <si>
    <t>1155.8332897455405</t>
  </si>
  <si>
    <t>4.556919455187492</t>
  </si>
  <si>
    <t>0.273562</t>
  </si>
  <si>
    <t>0.3109</t>
  </si>
  <si>
    <t>0.29735</t>
  </si>
  <si>
    <t>0.2932</t>
  </si>
  <si>
    <t>72.37314423244447</t>
  </si>
  <si>
    <t>693.8334370293095</t>
  </si>
  <si>
    <t>283.937724852634</t>
  </si>
  <si>
    <t>3594.1484158561266</t>
  </si>
  <si>
    <t>0.9652264691802361</t>
  </si>
  <si>
    <t>0.09114781714285713</t>
  </si>
  <si>
    <t>0.10003</t>
  </si>
  <si>
    <t>0.09907371428571428</t>
  </si>
  <si>
    <t>0.09816</t>
  </si>
  <si>
    <t>70.26284229749689</t>
  </si>
  <si>
    <t>318.41868594634116</t>
  </si>
  <si>
    <t>-17.62369671107736</t>
  </si>
  <si>
    <t>1702.7624137603011</t>
  </si>
  <si>
    <t>0.9350062092431327</t>
  </si>
  <si>
    <t>0.16879674</t>
  </si>
  <si>
    <t>0.18125</t>
  </si>
  <si>
    <t>0.179571</t>
  </si>
  <si>
    <t>0.17898</t>
  </si>
  <si>
    <t>73.62837994362894</t>
  </si>
  <si>
    <t>1112.1154334526022</t>
  </si>
  <si>
    <t>-58.70759245363924</t>
  </si>
  <si>
    <t>3101.820781009138</t>
  </si>
  <si>
    <t>1.7926816408309534</t>
  </si>
  <si>
    <t>0.24926742857142858</t>
  </si>
  <si>
    <t>0.2758</t>
  </si>
  <si>
    <t>0.27094285714285715</t>
  </si>
  <si>
    <t>0.2684</t>
  </si>
  <si>
    <t>73.26922493083502</t>
  </si>
  <si>
    <t>731.9119980779358</t>
  </si>
  <si>
    <t>-38.078561048626256</t>
  </si>
  <si>
    <t>1482.961144729468</t>
  </si>
  <si>
    <t>2.4677382839031035</t>
  </si>
  <si>
    <t>0.0812728</t>
  </si>
  <si>
    <t>0.09052</t>
  </si>
  <si>
    <t>0.08834</t>
  </si>
  <si>
    <t>0.08774</t>
  </si>
  <si>
    <t>71.7328719107224</t>
  </si>
  <si>
    <t>632.3770565523059</t>
  </si>
  <si>
    <t>99.53494152562983</t>
  </si>
  <si>
    <t>1259.9359686788587</t>
  </si>
  <si>
    <t>2.5095602962085555</t>
  </si>
  <si>
    <t>0.09410049142857144</t>
  </si>
  <si>
    <t>0.10485</t>
  </si>
  <si>
    <t>0.10228314285714286</t>
  </si>
  <si>
    <t>0.10159</t>
  </si>
  <si>
    <t>73.6562643943695</t>
  </si>
  <si>
    <t>292.3157840297615</t>
  </si>
  <si>
    <t>26.102901916579633</t>
  </si>
  <si>
    <t>442.4220663827056</t>
  </si>
  <si>
    <t>3.303585040635173</t>
  </si>
  <si>
    <t>0.1717601571428571</t>
  </si>
  <si>
    <t>0.18876</t>
  </si>
  <si>
    <t>0.1827235714285714</t>
  </si>
  <si>
    <t>0.18213</t>
  </si>
  <si>
    <t>72.66409094286898</t>
  </si>
  <si>
    <t>1176.183244380862</t>
  </si>
  <si>
    <t>-64.06781092825989</t>
  </si>
  <si>
    <t>5258.648709216782</t>
  </si>
  <si>
    <t>1.1183322079675881</t>
  </si>
  <si>
    <t>0.31143314285714285</t>
  </si>
  <si>
    <t>0.3423</t>
  </si>
  <si>
    <t>0.3385142857142857</t>
  </si>
  <si>
    <t>0.335</t>
  </si>
  <si>
    <t>72.81170190164708</t>
  </si>
  <si>
    <t>667.2581283274083</t>
  </si>
  <si>
    <t>-34.881071775102335</t>
  </si>
  <si>
    <t>1518.1653587319233</t>
  </si>
  <si>
    <t>2.19758053524798</t>
  </si>
  <si>
    <t>0.09643124571428571</t>
  </si>
  <si>
    <t>0.10712</t>
  </si>
  <si>
    <t>0.10481657142857143</t>
  </si>
  <si>
    <t>0.10398</t>
  </si>
  <si>
    <t>72.53277777601525</t>
  </si>
  <si>
    <t>703.5997069421499</t>
  </si>
  <si>
    <t>-36.34157861474155</t>
  </si>
  <si>
    <t>1161.5932676340512</t>
  </si>
  <si>
    <t>3.028597558830774</t>
  </si>
  <si>
    <t>0.10461872</t>
  </si>
  <si>
    <t>0.11716</t>
  </si>
  <si>
    <t>0.113716</t>
  </si>
  <si>
    <t>0.11294</t>
  </si>
  <si>
    <t>72.34459988787316</t>
  </si>
  <si>
    <t>1242.6002264865692</t>
  </si>
  <si>
    <t>-66.41698210570712</t>
  </si>
  <si>
    <t>4286.970781378664</t>
  </si>
  <si>
    <t>1.4492753623188406</t>
  </si>
  <si>
    <t>0.34732628571428575</t>
  </si>
  <si>
    <t>0.383</t>
  </si>
  <si>
    <t>0.37752857142857144</t>
  </si>
  <si>
    <t>0.373</t>
  </si>
  <si>
    <t>71.42456407302049</t>
  </si>
  <si>
    <t>603.1647325031719</t>
  </si>
  <si>
    <t>-30.74651956001938</t>
  </si>
  <si>
    <t>588.2829348607867</t>
  </si>
  <si>
    <t>5.126485036030383</t>
  </si>
  <si>
    <t>0.11882828571428572</t>
  </si>
  <si>
    <t>0.1388</t>
  </si>
  <si>
    <t>0.13203142857142858</t>
  </si>
  <si>
    <t>0.1291</t>
  </si>
  <si>
    <t>72.1229850472784</t>
  </si>
  <si>
    <t>1159.0738048767275</t>
  </si>
  <si>
    <t>83.5264216098418</t>
  </si>
  <si>
    <t>1057.296476073947</t>
  </si>
  <si>
    <t>5.481309316288984</t>
  </si>
  <si>
    <t>0.37321114285714285</t>
  </si>
  <si>
    <t>0.4279</t>
  </si>
  <si>
    <t>0.4056642857142857</t>
  </si>
  <si>
    <t>0.4017</t>
  </si>
  <si>
    <t>72.87830144631371</t>
  </si>
  <si>
    <t>590.666231287053</t>
  </si>
  <si>
    <t>112.93347565509686</t>
  </si>
  <si>
    <t>1429.5376665202134</t>
  </si>
  <si>
    <t>2.0659344804983535</t>
  </si>
  <si>
    <t>0.11148244571428571</t>
  </si>
  <si>
    <t>0.12368</t>
  </si>
  <si>
    <t>0.12117657142857143</t>
  </si>
  <si>
    <t>0.12028</t>
  </si>
  <si>
    <t>72.75027125412431</t>
  </si>
  <si>
    <t>509.178485886088</t>
  </si>
  <si>
    <t>81.48774540096503</t>
  </si>
  <si>
    <t>1031.4904481134813</t>
  </si>
  <si>
    <t>2.4681686913210745</t>
  </si>
  <si>
    <t>0.11240954285714287</t>
  </si>
  <si>
    <t>0.12218428571428572</t>
  </si>
  <si>
    <t>0.12125</t>
  </si>
  <si>
    <t>71.87830135451375</t>
  </si>
  <si>
    <t>222.92023031481565</t>
  </si>
  <si>
    <t>69.39555371494586</t>
  </si>
  <si>
    <t>1176.1958256770483</t>
  </si>
  <si>
    <t>0.9476322966309504</t>
  </si>
  <si>
    <t>0.19498822857142856</t>
  </si>
  <si>
    <t>0.2094</t>
  </si>
  <si>
    <t>0.2074342857142857</t>
  </si>
  <si>
    <t>0.20689</t>
  </si>
  <si>
    <t>78.82323270777427</t>
  </si>
  <si>
    <t>222.92023031481563</t>
  </si>
  <si>
    <t>235.80314964268496</t>
  </si>
  <si>
    <t>-12.882919327869345</t>
  </si>
  <si>
    <t>1092.7618457350961</t>
  </si>
  <si>
    <t>1.0789320223935035</t>
  </si>
  <si>
    <t>0.1895178314285714</t>
  </si>
  <si>
    <t>0.20379</t>
  </si>
  <si>
    <t>0.20161471428571426</t>
  </si>
  <si>
    <t>0.20128</t>
  </si>
  <si>
    <t>74.78269842480427</t>
  </si>
  <si>
    <t>509.17848588608797</t>
  </si>
  <si>
    <t>537.0927436334426</t>
  </si>
  <si>
    <t>-27.91425774735467</t>
  </si>
  <si>
    <t>1059.6205656825407</t>
  </si>
  <si>
    <t>2.534363530814832</t>
  </si>
  <si>
    <t>0.10821854857142858</t>
  </si>
  <si>
    <t>0.12061</t>
  </si>
  <si>
    <t>0.11762885714285715</t>
  </si>
  <si>
    <t>0.11727</t>
  </si>
  <si>
    <t>72.19777467266421</t>
  </si>
  <si>
    <t>1223.3970171551582</t>
  </si>
  <si>
    <t>-64.32321227843067</t>
  </si>
  <si>
    <t>3153.3614206727525</t>
  </si>
  <si>
    <t>1.9398300003526923</t>
  </si>
  <si>
    <t>0.37263942857142857</t>
  </si>
  <si>
    <t>0.40504285714285715</t>
  </si>
  <si>
    <t>0.4011</t>
  </si>
  <si>
    <t>71.89382638551864</t>
  </si>
  <si>
    <t>1290.4816284168983</t>
  </si>
  <si>
    <t>-67.08461126174016</t>
  </si>
  <si>
    <t>2560.5298408952403</t>
  </si>
  <si>
    <t>2.5199503786405906</t>
  </si>
  <si>
    <t>0.3549162857142858</t>
  </si>
  <si>
    <t>0.3955</t>
  </si>
  <si>
    <t>0.38577857142857147</t>
  </si>
  <si>
    <t>0.3834</t>
  </si>
  <si>
    <t>73.07585672722122</t>
  </si>
  <si>
    <t>1359.6734189408176</t>
  </si>
  <si>
    <t>-69.19179052391927</t>
  </si>
  <si>
    <t>1208.119576878392</t>
  </si>
  <si>
    <t>5.627230304693923</t>
  </si>
  <si>
    <t>0.335156</t>
  </si>
  <si>
    <t>0.3848</t>
  </si>
  <si>
    <t>0.3643</t>
  </si>
  <si>
    <t>0.3579</t>
  </si>
  <si>
    <t>72.62000673396139</t>
  </si>
  <si>
    <t>235.80314964268499</t>
  </si>
  <si>
    <t>251.24885433224472</t>
  </si>
  <si>
    <t>-15.445704689559726</t>
  </si>
  <si>
    <t>2883.2619729474895</t>
  </si>
  <si>
    <t>0.4357024382272816</t>
  </si>
  <si>
    <t>0.1857243942857143</t>
  </si>
  <si>
    <t>0.19844</t>
  </si>
  <si>
    <t>0.19757914285714287</t>
  </si>
  <si>
    <t>0.19716</t>
  </si>
  <si>
    <t>74.87239731174293</t>
  </si>
  <si>
    <t>572.8624642712408</t>
  </si>
  <si>
    <t>-35.76972063779815</t>
  </si>
  <si>
    <t>7126.597424236108</t>
  </si>
  <si>
    <t>0.40191863674174444</t>
  </si>
  <si>
    <t>0.10143630857142857</t>
  </si>
  <si>
    <t>0.1107</t>
  </si>
  <si>
    <t>0.11025685714285714</t>
  </si>
  <si>
    <t>0.10979</t>
  </si>
  <si>
    <t>72.38149505815836</t>
  </si>
  <si>
    <t>482.76121124741735</t>
  </si>
  <si>
    <t>120.40352125575451</t>
  </si>
  <si>
    <t>1216.1971844015607</t>
  </si>
  <si>
    <t>1.9847160371653212</t>
  </si>
  <si>
    <t>0.09354342857142857</t>
  </si>
  <si>
    <t>0.106</t>
  </si>
  <si>
    <t>0.10393714285714285</t>
  </si>
  <si>
    <t>0.1028</t>
  </si>
  <si>
    <t>77.09923360700057</t>
  </si>
  <si>
    <t>485.5339125555901</t>
  </si>
  <si>
    <t>87.3285517156507</t>
  </si>
  <si>
    <t>1105.4247052614012</t>
  </si>
  <si>
    <t>2.196141945465093</t>
  </si>
  <si>
    <t>0.10873874285714286</t>
  </si>
  <si>
    <t>0.12079</t>
  </si>
  <si>
    <t>0.11819428571428571</t>
  </si>
  <si>
    <t>83.52685470672668</t>
  </si>
  <si>
    <t>920.2088136164977</t>
  </si>
  <si>
    <t>439.4646053243199</t>
  </si>
  <si>
    <t>5562.843105371138</t>
  </si>
  <si>
    <t>0.8271029725141815</t>
  </si>
  <si>
    <t>0.3638862857142857</t>
  </si>
  <si>
    <t>0.3988</t>
  </si>
  <si>
    <t>0.3955285714285714</t>
  </si>
  <si>
    <t>0.3882</t>
  </si>
  <si>
    <t>76.33598587216788</t>
  </si>
  <si>
    <t>187.79710460608004</t>
  </si>
  <si>
    <t>63.45174972616469</t>
  </si>
  <si>
    <t>1075.4533851892322</t>
  </si>
  <si>
    <t>0.8731066692074061</t>
  </si>
  <si>
    <t>0.19097617428571426</t>
  </si>
  <si>
    <t>0.20494</t>
  </si>
  <si>
    <t>0.20316614285714285</t>
  </si>
  <si>
    <t>0.20176</t>
  </si>
  <si>
    <t>74.35623236762164</t>
  </si>
  <si>
    <t>920.2088136164978</t>
  </si>
  <si>
    <t>969.6076072936887</t>
  </si>
  <si>
    <t>-49.39879367719099</t>
  </si>
  <si>
    <t>918.4133125065538</t>
  </si>
  <si>
    <t>5.278710543989255</t>
  </si>
  <si>
    <t>0.34247000000000005</t>
  </si>
  <si>
    <t>0.3919</t>
  </si>
  <si>
    <t>0.37225</t>
  </si>
  <si>
    <t>0.3674</t>
  </si>
  <si>
    <t>71.52300918189334</t>
  </si>
  <si>
    <t>485.53391255559006</t>
  </si>
  <si>
    <t>512.1573227982952</t>
  </si>
  <si>
    <t>-26.623410242705162</t>
  </si>
  <si>
    <t>1015.5441027903996</t>
  </si>
  <si>
    <t>2.521590748206041</t>
  </si>
  <si>
    <t>0.10582707428571429</t>
  </si>
  <si>
    <t>0.11793</t>
  </si>
  <si>
    <t>0.11502942857142857</t>
  </si>
  <si>
    <t>0.11427</t>
  </si>
  <si>
    <t>71.19883118131804</t>
  </si>
  <si>
    <t>187.79710460608</t>
  </si>
  <si>
    <t>198.80765546444056</t>
  </si>
  <si>
    <t>-11.010550858360538</t>
  </si>
  <si>
    <t>1070.1680851385092</t>
  </si>
  <si>
    <t>0.9288618219198219</t>
  </si>
  <si>
    <t>0.18850504857142858</t>
  </si>
  <si>
    <t>0.2024</t>
  </si>
  <si>
    <t>0.20053728571428572</t>
  </si>
  <si>
    <t>0.20002</t>
  </si>
  <si>
    <t>77.10636317387805</t>
  </si>
  <si>
    <t>209.85829243802561</t>
  </si>
  <si>
    <t>-11.05063697358505</t>
  </si>
  <si>
    <t>557.7223516837679</t>
  </si>
  <si>
    <t>1.8813867850594646</t>
  </si>
  <si>
    <t>0.1831720257142857</t>
  </si>
  <si>
    <t>0.19853</t>
  </si>
  <si>
    <t>0.19486385714285714</t>
  </si>
  <si>
    <t>0.19441</t>
  </si>
  <si>
    <t>72.46848681010144</t>
  </si>
  <si>
    <t>481.85176149306756</t>
  </si>
  <si>
    <t>30.305561305227673</t>
  </si>
  <si>
    <t>383.61470006617304</t>
  </si>
  <si>
    <t>6.280413151659057</t>
  </si>
  <si>
    <t>0.1097105257142857</t>
  </si>
  <si>
    <t>0.12674</t>
  </si>
  <si>
    <t>0.11925057142857141</t>
  </si>
  <si>
    <t>70.70781735867311</t>
  </si>
  <si>
    <t>439.221495761003</t>
  </si>
  <si>
    <t>43.53971548641434</t>
  </si>
  <si>
    <t>439.79510592337715</t>
  </si>
  <si>
    <t>4.993478665921375</t>
  </si>
  <si>
    <t>0.11040685714285714</t>
  </si>
  <si>
    <t>0.1288</t>
  </si>
  <si>
    <t>0.12267428571428571</t>
  </si>
  <si>
    <t>0.122</t>
  </si>
  <si>
    <t>75.04047611455424</t>
  </si>
  <si>
    <t>833.8424013333677</t>
  </si>
  <si>
    <t>135.765205960321</t>
  </si>
  <si>
    <t>1718.546910890139</t>
  </si>
  <si>
    <t>2.4260100089484045</t>
  </si>
  <si>
    <t>0.39655942857142856</t>
  </si>
  <si>
    <t>0.4415</t>
  </si>
  <si>
    <t>0.4310428571428571</t>
  </si>
  <si>
    <t>0.4204</t>
  </si>
  <si>
    <t>70.0450608241202</t>
  </si>
  <si>
    <t>398.48513240837724</t>
  </si>
  <si>
    <t>40.73636335262577</t>
  </si>
  <si>
    <t>411.47841770329063</t>
  </si>
  <si>
    <t>4.842114619675113</t>
  </si>
  <si>
    <t>0.11571685714285715</t>
  </si>
  <si>
    <t>0.12857428571428572</t>
  </si>
  <si>
    <t>0.1269</t>
  </si>
  <si>
    <t>85.39298047192067</t>
  </si>
  <si>
    <t>422.79133457345716</t>
  </si>
  <si>
    <t>-24.306202165079917</t>
  </si>
  <si>
    <t>3166.6354364070576</t>
  </si>
  <si>
    <t>0.6675718488345578</t>
  </si>
  <si>
    <t>0.11363142857142859</t>
  </si>
  <si>
    <t>0.1271</t>
  </si>
  <si>
    <t>0.12625714285714287</t>
  </si>
  <si>
    <t>80.05076678887319</t>
  </si>
  <si>
    <t>833.8424013333678</t>
  </si>
  <si>
    <t>687.7914767788461</t>
  </si>
  <si>
    <t>146.05092455452166</t>
  </si>
  <si>
    <t>1848.745880436983</t>
  </si>
  <si>
    <t>1.860156888128602</t>
  </si>
  <si>
    <t>0.42640028571428573</t>
  </si>
  <si>
    <t>0.4721</t>
  </si>
  <si>
    <t>0.4634785714285714</t>
  </si>
  <si>
    <t>0.4535</t>
  </si>
  <si>
    <t>73.97605354560022</t>
  </si>
  <si>
    <t>368.3544385411735</t>
  </si>
  <si>
    <t>113.49732295189405</t>
  </si>
  <si>
    <t>1436.6749740746081</t>
  </si>
  <si>
    <t>1.2819685913246945</t>
  </si>
  <si>
    <t>0.11818609142857144</t>
  </si>
  <si>
    <t>0.13011</t>
  </si>
  <si>
    <t>0.12846314285714286</t>
  </si>
  <si>
    <t>0.12715</t>
  </si>
  <si>
    <t>70.5775214611239</t>
  </si>
  <si>
    <t>221.44642840330866</t>
  </si>
  <si>
    <t>-11.588135965283053</t>
  </si>
  <si>
    <t>515.8145451176186</t>
  </si>
  <si>
    <t>2.1465702208224213</t>
  </si>
  <si>
    <t>0.19689589142857145</t>
  </si>
  <si>
    <t>0.21396</t>
  </si>
  <si>
    <t>0.2094637142857143</t>
  </si>
  <si>
    <t>0.2081</t>
  </si>
  <si>
    <t>75.21957807735878</t>
  </si>
  <si>
    <t>577.747646177449</t>
  </si>
  <si>
    <t>110.04383060139705</t>
  </si>
  <si>
    <t>1392.9598810303423</t>
  </si>
  <si>
    <t>2.073812943378174</t>
  </si>
  <si>
    <t>0.6039668571428571</t>
  </si>
  <si>
    <t>0.6701</t>
  </si>
  <si>
    <t>0.6564857142857142</t>
  </si>
  <si>
    <t>0.6484</t>
  </si>
  <si>
    <t>74.1888161200978</t>
  </si>
  <si>
    <t>533.713552348638</t>
  </si>
  <si>
    <t>44.03409382881103</t>
  </si>
  <si>
    <t>557.39359276976</t>
  </si>
  <si>
    <t>4.78758241278436</t>
  </si>
  <si>
    <t>0.6020217142857143</t>
  </si>
  <si>
    <t>0.6857</t>
  </si>
  <si>
    <t>0.6543714285714285</t>
  </si>
  <si>
    <t>0.6475</t>
  </si>
  <si>
    <t>70.16079659991259</t>
  </si>
  <si>
    <t>339.2649803485533</t>
  </si>
  <si>
    <t>29.089458192620185</t>
  </si>
  <si>
    <t>368.22098978000236</t>
  </si>
  <si>
    <t>4.606812074336812</t>
  </si>
  <si>
    <t>0.14369006857142858</t>
  </si>
  <si>
    <t>0.16338</t>
  </si>
  <si>
    <t>0.15618485714285715</t>
  </si>
  <si>
    <t>0.15517</t>
  </si>
  <si>
    <t>75.35057799439502</t>
  </si>
  <si>
    <t>199.11877900210573</t>
  </si>
  <si>
    <t>22.327649401202944</t>
  </si>
  <si>
    <t>378.43473561360923</t>
  </si>
  <si>
    <t>2.6308205915512297</t>
  </si>
  <si>
    <t>0.23905099714285716</t>
  </si>
  <si>
    <t>0.261</t>
  </si>
  <si>
    <t>0.25430957142857147</t>
  </si>
  <si>
    <t>0.25362</t>
  </si>
  <si>
    <t>73.70206762027809</t>
  </si>
  <si>
    <t>498.2994542700231</t>
  </si>
  <si>
    <t>35.414098078614934</t>
  </si>
  <si>
    <t>448.2797225141131</t>
  </si>
  <si>
    <t>5.557907588094565</t>
  </si>
  <si>
    <t>0.6674402857142857</t>
  </si>
  <si>
    <t>0.7658</t>
  </si>
  <si>
    <t>0.7254785714285714</t>
  </si>
  <si>
    <t>0.7152</t>
  </si>
  <si>
    <t>71.87458813504536</t>
  </si>
  <si>
    <t>181.78689139791683</t>
  </si>
  <si>
    <t>17.33188760418889</t>
  </si>
  <si>
    <t>293.76080685065915</t>
  </si>
  <si>
    <t>3.094131129111666</t>
  </si>
  <si>
    <t>0.24654749714285712</t>
  </si>
  <si>
    <t>0.2704</t>
  </si>
  <si>
    <t>0.2622845714285714</t>
  </si>
  <si>
    <t>0.26137</t>
  </si>
  <si>
    <t>72.73906087185841</t>
  </si>
  <si>
    <t>339.26498034855337</t>
  </si>
  <si>
    <t>292.4750230068518</t>
  </si>
  <si>
    <t>46.78995734170154</t>
  </si>
  <si>
    <t>592.2779410341967</t>
  </si>
  <si>
    <t>2.469069019320146</t>
  </si>
  <si>
    <t>0.15549550857142858</t>
  </si>
  <si>
    <t>0.17319</t>
  </si>
  <si>
    <t>0.16901685714285714</t>
  </si>
  <si>
    <t>0.16819</t>
  </si>
  <si>
    <t>71.07614540316436</t>
  </si>
  <si>
    <t>307.2525140908268</t>
  </si>
  <si>
    <t>115.53882048263033</t>
  </si>
  <si>
    <t>1167.0587927538415</t>
  </si>
  <si>
    <t>1.3163540517347063</t>
  </si>
  <si>
    <t>0.16780114285714287</t>
  </si>
  <si>
    <t>0.1889</t>
  </si>
  <si>
    <t>0.1864457142857143</t>
  </si>
  <si>
    <t>0.1854</t>
  </si>
  <si>
    <t>75.93660000331207</t>
  </si>
  <si>
    <t>276.68808694618383</t>
  </si>
  <si>
    <t>15.786936060667957</t>
  </si>
  <si>
    <t>199.8346336793412</t>
  </si>
  <si>
    <t>6.922926267880153</t>
  </si>
  <si>
    <t>0.15165989714285713</t>
  </si>
  <si>
    <t>0.17626</t>
  </si>
  <si>
    <t>0.16484771428571426</t>
  </si>
  <si>
    <t>0.16365</t>
  </si>
  <si>
    <t>74.47535889359959</t>
  </si>
  <si>
    <t>192.1023450149231</t>
  </si>
  <si>
    <t>-10.315453617006252</t>
  </si>
  <si>
    <t>710.3363662600977</t>
  </si>
  <si>
    <t>1.3521928070945943</t>
  </si>
  <si>
    <t>0.2458508228571428</t>
  </si>
  <si>
    <t>0.26508</t>
  </si>
  <si>
    <t>0.26154342857142854</t>
  </si>
  <si>
    <t>0.26058</t>
  </si>
  <si>
    <t>72.89571210158167</t>
  </si>
  <si>
    <t>498.29945427002303</t>
  </si>
  <si>
    <t>158.24223071915878</t>
  </si>
  <si>
    <t>340.05722355086425</t>
  </si>
  <si>
    <t>4304.521817099548</t>
  </si>
  <si>
    <t>0.18380930268554757</t>
  </si>
  <si>
    <t>0.6792754285714286</t>
  </si>
  <si>
    <t>0.7397</t>
  </si>
  <si>
    <t>0.7383428571428572</t>
  </si>
  <si>
    <t>0.7277</t>
  </si>
  <si>
    <t>70.69113042180952</t>
  </si>
  <si>
    <t>259.6329820456247</t>
  </si>
  <si>
    <t>17.05510490055912</t>
  </si>
  <si>
    <t>215.88740380454584</t>
  </si>
  <si>
    <t>6.013157263234405</t>
  </si>
  <si>
    <t>0.15335190857142858</t>
  </si>
  <si>
    <t>0.17671</t>
  </si>
  <si>
    <t>0.16668685714285714</t>
  </si>
  <si>
    <t>0.16438</t>
  </si>
  <si>
    <t>75.39542496956494</t>
  </si>
  <si>
    <t>273.6164295625219</t>
  </si>
  <si>
    <t>-13.983447516897172</t>
  </si>
  <si>
    <t>302.62603877107694</t>
  </si>
  <si>
    <t>4.520702030030875</t>
  </si>
  <si>
    <t>0.14722365714285715</t>
  </si>
  <si>
    <t>0.16726</t>
  </si>
  <si>
    <t>0.1600257142857143</t>
  </si>
  <si>
    <t>0.15784</t>
  </si>
  <si>
    <t>76.76075191662216</t>
  </si>
  <si>
    <t>139.9892035642487</t>
  </si>
  <si>
    <t>18.253027154910093</t>
  </si>
  <si>
    <t>231.05097664443156</t>
  </si>
  <si>
    <t>3.0294008187569914</t>
  </si>
  <si>
    <t>0.61801</t>
  </si>
  <si>
    <t>0.6921</t>
  </si>
  <si>
    <t>0.67175</t>
  </si>
  <si>
    <t>0.6596</t>
  </si>
  <si>
    <t>70.19295082381589</t>
  </si>
  <si>
    <t>202.59984107542138</t>
  </si>
  <si>
    <t>-10.497496060498305</t>
  </si>
  <si>
    <t>367.50400672723555</t>
  </si>
  <si>
    <t>2.7564303703740656</t>
  </si>
  <si>
    <t>0.24265576285714283</t>
  </si>
  <si>
    <t>0.26526</t>
  </si>
  <si>
    <t>0.25814442857142855</t>
  </si>
  <si>
    <t>0.25659</t>
  </si>
  <si>
    <t>77.6517422607632</t>
  </si>
  <si>
    <t>324.52602596573064</t>
  </si>
  <si>
    <t>-17.273511874903843</t>
  </si>
  <si>
    <t>1047.21057661731</t>
  </si>
  <si>
    <t>1.5494783628618976</t>
  </si>
  <si>
    <t>0.16661828571428572</t>
  </si>
  <si>
    <t>0.188</t>
  </si>
  <si>
    <t>0.18513142857142859</t>
  </si>
  <si>
    <t>0.1836</t>
  </si>
  <si>
    <t>72.38571883373716</t>
  </si>
  <si>
    <t>288.2263422307919</t>
  </si>
  <si>
    <t>-14.609912668270002</t>
  </si>
  <si>
    <t>198.59555673040683</t>
  </si>
  <si>
    <t>7.2566160838648255</t>
  </si>
  <si>
    <t>0.14342537142857142</t>
  </si>
  <si>
    <t>0.16721</t>
  </si>
  <si>
    <t>0.15589714285714285</t>
  </si>
  <si>
    <t>0.15464</t>
  </si>
  <si>
    <t>73.80252147907804</t>
  </si>
  <si>
    <t>147.79271053773238</t>
  </si>
  <si>
    <t>-7.803506973483682</t>
  </si>
  <si>
    <t>413.8714465970629</t>
  </si>
  <si>
    <t>1.7854905400325967</t>
  </si>
  <si>
    <t>0.6293588571428571</t>
  </si>
  <si>
    <t>0.6963</t>
  </si>
  <si>
    <t>0.6840857142857142</t>
  </si>
  <si>
    <t>0.6778</t>
  </si>
  <si>
    <t>70.78815747376385</t>
  </si>
  <si>
    <t>155.71748938310748</t>
  </si>
  <si>
    <t>-7.924778845375094</t>
  </si>
  <si>
    <t>138.9043762197203</t>
  </si>
  <si>
    <t>5.605204588255449</t>
  </si>
  <si>
    <t>0.5757557142857143</t>
  </si>
  <si>
    <t>0.6609</t>
  </si>
  <si>
    <t>0.6258214285714285</t>
  </si>
  <si>
    <t>0.62</t>
  </si>
  <si>
    <t>76.5239475410359</t>
  </si>
  <si>
    <t>341.9250551798344</t>
  </si>
  <si>
    <t>-17.399029214103756</t>
  </si>
  <si>
    <t>302.7764551120364</t>
  </si>
  <si>
    <t>5.64649346748762</t>
  </si>
  <si>
    <t>0.1541082857142857</t>
  </si>
  <si>
    <t>0.1809</t>
  </si>
  <si>
    <t>0.17123142857142856</t>
  </si>
  <si>
    <t>0.1697</t>
  </si>
  <si>
    <t>75.85495264153235</t>
  </si>
  <si>
    <t>361.50906190160185</t>
  </si>
  <si>
    <t>-19.584006721767494</t>
  </si>
  <si>
    <t>1508.5536266874033</t>
  </si>
  <si>
    <t>1.1981975831228187</t>
  </si>
  <si>
    <t>0.15065485714285715</t>
  </si>
  <si>
    <t>0.1694</t>
  </si>
  <si>
    <t>0.16739428571428572</t>
  </si>
  <si>
    <t>0.1668</t>
  </si>
  <si>
    <t>76.88549448310486</t>
  </si>
  <si>
    <t>213.76091982784104</t>
  </si>
  <si>
    <t>-11.161078752419652</t>
  </si>
  <si>
    <t>473.03276102759963</t>
  </si>
  <si>
    <t>2.2594726775739</t>
  </si>
  <si>
    <t>0.21954895142857142</t>
  </si>
  <si>
    <t>0.23884</t>
  </si>
  <si>
    <t>0.2335627142857143</t>
  </si>
  <si>
    <t>0.23285</t>
  </si>
  <si>
    <t>73.47584718050283</t>
  </si>
  <si>
    <t>382.00783454109035</t>
  </si>
  <si>
    <t>-20.498772639488468</t>
  </si>
  <si>
    <t>1398.3809124339507</t>
  </si>
  <si>
    <t>1.3658933383043212</t>
  </si>
  <si>
    <t>0.15173742857142858</t>
  </si>
  <si>
    <t>0.1709</t>
  </si>
  <si>
    <t>0.16859714285714286</t>
  </si>
  <si>
    <t>0.1681</t>
  </si>
  <si>
    <t>74.59416829608713</t>
  </si>
  <si>
    <t>227.258167388699</t>
  </si>
  <si>
    <t>-13.49724756085798</t>
  </si>
  <si>
    <t>2134.339191423029</t>
  </si>
  <si>
    <t>0.5323853122829532</t>
  </si>
  <si>
    <t>0.2221425457142857</t>
  </si>
  <si>
    <t>0.23758</t>
  </si>
  <si>
    <t>0.23632185714285714</t>
  </si>
  <si>
    <t>0.23564</t>
  </si>
  <si>
    <t>77.24124490276718</t>
  </si>
  <si>
    <t>243.515336203838</t>
  </si>
  <si>
    <t>44.71100602695388</t>
  </si>
  <si>
    <t>565.9621016070112</t>
  </si>
  <si>
    <t>2.1513395995278897</t>
  </si>
  <si>
    <t>0.1409747542857143</t>
  </si>
  <si>
    <t>0.15653</t>
  </si>
  <si>
    <t>0.15323342857142858</t>
  </si>
  <si>
    <t>0.15223</t>
  </si>
  <si>
    <t>85.25323647856062</t>
  </si>
  <si>
    <t>240.34415611166193</t>
  </si>
  <si>
    <t>-13.085988722962929</t>
  </si>
  <si>
    <t>1068.7809173798294</t>
  </si>
  <si>
    <t>1.1243845778088828</t>
  </si>
  <si>
    <t>0.21607350285714283</t>
  </si>
  <si>
    <t>0.23245</t>
  </si>
  <si>
    <t>0.22986542857142855</t>
  </si>
  <si>
    <t>0.22943</t>
  </si>
  <si>
    <t>72.89471089545202</t>
  </si>
  <si>
    <t>164.17602136616466</t>
  </si>
  <si>
    <t>-8.458531983057187</t>
  </si>
  <si>
    <t>249.73091474895392</t>
  </si>
  <si>
    <t>3.2870584230872115</t>
  </si>
  <si>
    <t>0.5405788571428571</t>
  </si>
  <si>
    <t>0.6069</t>
  </si>
  <si>
    <t>0.5875857142857143</t>
  </si>
  <si>
    <t>0.5833</t>
  </si>
  <si>
    <t>70.34896028907758</t>
  </si>
  <si>
    <t>403.76551409010364</t>
  </si>
  <si>
    <t>-21.757679549013304</t>
  </si>
  <si>
    <t>1569.4038445081196</t>
  </si>
  <si>
    <t>1.2863658882416313</t>
  </si>
  <si>
    <t>0.1505237142857143</t>
  </si>
  <si>
    <t>0.1672485714285714</t>
  </si>
  <si>
    <t>0.1667</t>
  </si>
  <si>
    <t>73.43263282441845</t>
  </si>
  <si>
    <t>243.51533620383802</t>
  </si>
  <si>
    <t>218.5288587260676</t>
  </si>
  <si>
    <t>24.98647747777041</t>
  </si>
  <si>
    <t>316.2845250350685</t>
  </si>
  <si>
    <t>3.454624577377567</t>
  </si>
  <si>
    <t>0.14134196571428573</t>
  </si>
  <si>
    <t>0.15894</t>
  </si>
  <si>
    <t>0.15363257142857142</t>
  </si>
  <si>
    <t>0.15292</t>
  </si>
  <si>
    <t>80.35325347900368</t>
  </si>
  <si>
    <t>218.37108843481198</t>
  </si>
  <si>
    <t>21.97306767684995</t>
  </si>
  <si>
    <t>372.42487587881277</t>
  </si>
  <si>
    <t>2.931746810944364</t>
  </si>
  <si>
    <t>0.22869018285714285</t>
  </si>
  <si>
    <t>0.25042</t>
  </si>
  <si>
    <t>0.24328742857142857</t>
  </si>
  <si>
    <t>0.2426</t>
  </si>
  <si>
    <t>78.09920380089912</t>
  </si>
  <si>
    <t>326.0314626159062</t>
  </si>
  <si>
    <t>77.73405147419743</t>
  </si>
  <si>
    <t>785.1924391333074</t>
  </si>
  <si>
    <t>2.0761245674740487</t>
  </si>
  <si>
    <t>0.176868</t>
  </si>
  <si>
    <t>0.19652</t>
  </si>
  <si>
    <t>0.1958</t>
  </si>
  <si>
    <t>74.24842609255789</t>
  </si>
  <si>
    <t>197.38695261984563</t>
  </si>
  <si>
    <t>20.98413581496636</t>
  </si>
  <si>
    <t>355.663318897735</t>
  </si>
  <si>
    <t>2.774912988378778</t>
  </si>
  <si>
    <t>0.26405996571428575</t>
  </si>
  <si>
    <t>0.28871</t>
  </si>
  <si>
    <t>0.2809148571428572</t>
  </si>
  <si>
    <t>0.28011</t>
  </si>
  <si>
    <t>72.1737930815547</t>
  </si>
  <si>
    <t>208.44794203865726</t>
  </si>
  <si>
    <t>-11.060989418811635</t>
  </si>
  <si>
    <t>638.5923168787721</t>
  </si>
  <si>
    <t>1.632089335630296</t>
  </si>
  <si>
    <t>0.2641712885714286</t>
  </si>
  <si>
    <t>0.28562</t>
  </si>
  <si>
    <t>0.2810332857142857</t>
  </si>
  <si>
    <t>0.27967</t>
  </si>
  <si>
    <t>74.2384523795291</t>
  </si>
  <si>
    <t>173.7797258491229</t>
  </si>
  <si>
    <t>-9.603704482958253</t>
  </si>
  <si>
    <t>914.7181905021067</t>
  </si>
  <si>
    <t>0.9499085491769428</t>
  </si>
  <si>
    <t>0.7796540000000001</t>
  </si>
  <si>
    <t>0.8555</t>
  </si>
  <si>
    <t>0.84745</t>
  </si>
  <si>
    <t>0.8423</t>
  </si>
  <si>
    <t>70.98661480356967</t>
  </si>
  <si>
    <t>220.27585367724504</t>
  </si>
  <si>
    <t>-11.82791163858778</t>
  </si>
  <si>
    <t>814.1189547255274</t>
  </si>
  <si>
    <t>1.35284808441482</t>
  </si>
  <si>
    <t>0.25218373714285713</t>
  </si>
  <si>
    <t>0.27191</t>
  </si>
  <si>
    <t>0.2682805714285714</t>
  </si>
  <si>
    <t>0.26748</t>
  </si>
  <si>
    <t>72.21232167473977</t>
  </si>
  <si>
    <t>151.15295981872796</t>
  </si>
  <si>
    <t>22.62676603039495</t>
  </si>
  <si>
    <t>286.4147598784171</t>
  </si>
  <si>
    <t>2.6387075841149445</t>
  </si>
  <si>
    <t>0.8708917142857142</t>
  </si>
  <si>
    <t>0.9716</t>
  </si>
  <si>
    <t>0.9466214285714285</t>
  </si>
  <si>
    <t>0.9356</t>
  </si>
  <si>
    <t>77.70339948823381</t>
  </si>
  <si>
    <t>205.05183975959292</t>
  </si>
  <si>
    <t>15.224013917652105</t>
  </si>
  <si>
    <t>258.0341341974933</t>
  </si>
  <si>
    <t>3.973347177444575</t>
  </si>
  <si>
    <t>0.27702753428571425</t>
  </si>
  <si>
    <t>0.30642</t>
  </si>
  <si>
    <t>0.29471014285714286</t>
  </si>
  <si>
    <t>0.29229</t>
  </si>
  <si>
    <t>74.94303765943077</t>
  </si>
  <si>
    <t>159.3523973753277</t>
  </si>
  <si>
    <t>-8.199437556599756</t>
  </si>
  <si>
    <t>231.81768783337046</t>
  </si>
  <si>
    <t>3.437019816405673</t>
  </si>
  <si>
    <t>0.8253911428571428</t>
  </si>
  <si>
    <t>0.928</t>
  </si>
  <si>
    <t>0.8971642857142856</t>
  </si>
  <si>
    <t>0.8913</t>
  </si>
  <si>
    <t>70.67912599935619</t>
  </si>
  <si>
    <t>230.75153660603678</t>
  </si>
  <si>
    <t>-12.222677879969192</t>
  </si>
  <si>
    <t>685.1010496673517</t>
  </si>
  <si>
    <t>1.6840693553022386</t>
  </si>
  <si>
    <t>0.13719828571428572</t>
  </si>
  <si>
    <t>0.15164</t>
  </si>
  <si>
    <t>0.14912857142857142</t>
  </si>
  <si>
    <t>0.14842</t>
  </si>
  <si>
    <t>72.62846685981398</t>
  </si>
  <si>
    <t>216.71172102661845</t>
  </si>
  <si>
    <t>-11.659881267025519</t>
  </si>
  <si>
    <t>824.2952156945965</t>
  </si>
  <si>
    <t>1.3145273495491856</t>
  </si>
  <si>
    <t>0.23617244857142858</t>
  </si>
  <si>
    <t>0.25455</t>
  </si>
  <si>
    <t>0.25124728571428573</t>
  </si>
  <si>
    <t>0.24998</t>
  </si>
  <si>
    <t>74.5645572174354</t>
  </si>
  <si>
    <t>168.20612247862488</t>
  </si>
  <si>
    <t>-8.853725103297151</t>
  </si>
  <si>
    <t>443.418979365906</t>
  </si>
  <si>
    <t>1.8966951157476555</t>
  </si>
  <si>
    <t>0.8138517142857143</t>
  </si>
  <si>
    <t>0.9014</t>
  </si>
  <si>
    <t>0.8846214285714286</t>
  </si>
  <si>
    <t>0.8739</t>
  </si>
  <si>
    <t>76.89399489478205</t>
  </si>
  <si>
    <t>244.00197186851204</t>
  </si>
  <si>
    <t>-13.250435262475252</t>
  </si>
  <si>
    <t>1050.3366690496487</t>
  </si>
  <si>
    <t>1.1615417182820371</t>
  </si>
  <si>
    <t>0.13410550857142858</t>
  </si>
  <si>
    <t>0.14746</t>
  </si>
  <si>
    <t>0.14576685714285714</t>
  </si>
  <si>
    <t>0.14484</t>
  </si>
  <si>
    <t>72.61909030428717</t>
  </si>
  <si>
    <t>344.2680956261417</t>
  </si>
  <si>
    <t>-18.236633010235504</t>
  </si>
  <si>
    <t>1023.2282289284166</t>
  </si>
  <si>
    <t>1.682264454268815</t>
  </si>
  <si>
    <t>0.17914628571428573</t>
  </si>
  <si>
    <t>0.19905142857142857</t>
  </si>
  <si>
    <t>0.198</t>
  </si>
  <si>
    <t>72.36334805702921</t>
  </si>
  <si>
    <t>362.7887903605853</t>
  </si>
  <si>
    <t>-18.520694734443648</t>
  </si>
  <si>
    <t>381.25521641438127</t>
  </si>
  <si>
    <t>4.757820676822884</t>
  </si>
  <si>
    <t>0.1768937142857143</t>
  </si>
  <si>
    <t>0.2059</t>
  </si>
  <si>
    <t>0.19654857142857143</t>
  </si>
  <si>
    <t>0.195</t>
  </si>
  <si>
    <t>72.13373512361231</t>
  </si>
  <si>
    <t>228.5284364530807</t>
  </si>
  <si>
    <t>-11.816715426462261</t>
  </si>
  <si>
    <t>390.2936038082267</t>
  </si>
  <si>
    <t>2.9276477275473063</t>
  </si>
  <si>
    <t>0.22785908857142856</t>
  </si>
  <si>
    <t>0.2495</t>
  </si>
  <si>
    <t>0.2424032857142857</t>
  </si>
  <si>
    <t>0.24059</t>
  </si>
  <si>
    <t>77.34576237079223</t>
  </si>
  <si>
    <t>177.4255126602753</t>
  </si>
  <si>
    <t>-9.219390181650422</t>
  </si>
  <si>
    <t>348.1145486366574</t>
  </si>
  <si>
    <t>2.5483783047151842</t>
  </si>
  <si>
    <t>0.7715382857142857</t>
  </si>
  <si>
    <t>0.86</t>
  </si>
  <si>
    <t>0.8386285714285714</t>
  </si>
  <si>
    <t>0.8307</t>
  </si>
  <si>
    <t>77.87037804083722</t>
  </si>
  <si>
    <t>257.3365006319082</t>
  </si>
  <si>
    <t>-13.334528763396174</t>
  </si>
  <si>
    <t>467.70373180076245</t>
  </si>
  <si>
    <t>2.751063153175045</t>
  </si>
  <si>
    <t>0.13307852571428572</t>
  </si>
  <si>
    <t>0.14863</t>
  </si>
  <si>
    <t>0.14465057142857143</t>
  </si>
  <si>
    <t>0.14385</t>
  </si>
  <si>
    <t>70.16710171149973</t>
  </si>
  <si>
    <t>187.25747505346422</t>
  </si>
  <si>
    <t>-9.831962393188917</t>
  </si>
  <si>
    <t>469.0886405157063</t>
  </si>
  <si>
    <t>1.995971111638914</t>
  </si>
  <si>
    <t>0.7470334285714286</t>
  </si>
  <si>
    <t>0.8282</t>
  </si>
  <si>
    <t>0.8119928571428572</t>
  </si>
  <si>
    <t>0.8045</t>
  </si>
  <si>
    <t>72.57756901067324</t>
  </si>
  <si>
    <t>271.91873995159614</t>
  </si>
  <si>
    <t>-14.582239319687911</t>
  </si>
  <si>
    <t>986.3023221081039</t>
  </si>
  <si>
    <t>1.3784756147101134</t>
  </si>
  <si>
    <t>0.1261774742857143</t>
  </si>
  <si>
    <t>0.13904</t>
  </si>
  <si>
    <t>0.1371494285714286</t>
  </si>
  <si>
    <t>0.13641</t>
  </si>
  <si>
    <t>75.39923336867852</t>
  </si>
  <si>
    <t>241.32500783628402</t>
  </si>
  <si>
    <t>-12.796571383203304</t>
  </si>
  <si>
    <t>730.3209913891031</t>
  </si>
  <si>
    <t>1.6521845235289834</t>
  </si>
  <si>
    <t>0.20799769428571427</t>
  </si>
  <si>
    <t>0.22493</t>
  </si>
  <si>
    <t>0.22127414285714286</t>
  </si>
  <si>
    <t>0.22069</t>
  </si>
  <si>
    <t>75.03482716272528</t>
  </si>
  <si>
    <t>383.17478584175353</t>
  </si>
  <si>
    <t>-20.385995481168234</t>
  </si>
  <si>
    <t>1227.2561890805575</t>
  </si>
  <si>
    <t>1.5611034975868507</t>
  </si>
  <si>
    <t>0.17262514285714284</t>
  </si>
  <si>
    <t>0.1948</t>
  </si>
  <si>
    <t>0.19180571428571427</t>
  </si>
  <si>
    <t>0.1908</t>
  </si>
  <si>
    <t>78.04512762853136</t>
  </si>
  <si>
    <t>287.3990650639043</t>
  </si>
  <si>
    <t>-15.480325112308169</t>
  </si>
  <si>
    <t>1110.371859112954</t>
  </si>
  <si>
    <t>1.2941568300078299</t>
  </si>
  <si>
    <t>0.12154146285714286</t>
  </si>
  <si>
    <t>0.13382</t>
  </si>
  <si>
    <t>0.1321102857142857</t>
  </si>
  <si>
    <t>0.13128</t>
  </si>
  <si>
    <t>70.78587695156986</t>
  </si>
  <si>
    <t>254.84368597306502</t>
  </si>
  <si>
    <t>-13.518678136781</t>
  </si>
  <si>
    <t>776.4938381277485</t>
  </si>
  <si>
    <t>1.640989750720586</t>
  </si>
  <si>
    <t>0.20415483999999998</t>
  </si>
  <si>
    <t>0.22075</t>
  </si>
  <si>
    <t>0.217186</t>
  </si>
  <si>
    <t>0.21631</t>
  </si>
  <si>
    <t>72.12537724047442</t>
  </si>
  <si>
    <t>268.95401586840705</t>
  </si>
  <si>
    <t>-14.110329895342046</t>
  </si>
  <si>
    <t>662.629101921695</t>
  </si>
  <si>
    <t>2.029446149349702</t>
  </si>
  <si>
    <t>0.20583743999999998</t>
  </si>
  <si>
    <t>0.22342</t>
  </si>
  <si>
    <t>0.218976</t>
  </si>
  <si>
    <t>0.21855</t>
  </si>
  <si>
    <t>78.04937120973725</t>
  </si>
  <si>
    <t>197.4478628584967</t>
  </si>
  <si>
    <t>-10.190387805032481</t>
  </si>
  <si>
    <t>317.9946621076453</t>
  </si>
  <si>
    <t>3.104578258481239</t>
  </si>
  <si>
    <t>0.6938508571428571</t>
  </si>
  <si>
    <t>0.7776</t>
  </si>
  <si>
    <t>0.7541857142857142</t>
  </si>
  <si>
    <t>0.7472</t>
  </si>
  <si>
    <t>72.0067430641645</t>
  </si>
  <si>
    <t>283.4446585158395</t>
  </si>
  <si>
    <t>-14.490642647432443</t>
  </si>
  <si>
    <t>318.40972164046923</t>
  </si>
  <si>
    <t>4.450942280523231</t>
  </si>
  <si>
    <t>0.19779869428571425</t>
  </si>
  <si>
    <t>0.21979</t>
  </si>
  <si>
    <t>0.21042414285714284</t>
  </si>
  <si>
    <t>0.20972</t>
  </si>
  <si>
    <t>72.50342108891996</t>
  </si>
  <si>
    <t>164.47102229297494</t>
  </si>
  <si>
    <t>32.976840565521776</t>
  </si>
  <si>
    <t>417.4283615888832</t>
  </si>
  <si>
    <t>1.9700508809097061</t>
  </si>
  <si>
    <t>0.7258405714285714</t>
  </si>
  <si>
    <t>0.7889571428571428</t>
  </si>
  <si>
    <t>0.7843</t>
  </si>
  <si>
    <t>72.12889860345703</t>
  </si>
  <si>
    <t>224.46024600066121</t>
  </si>
  <si>
    <t>58.98441251517826</t>
  </si>
  <si>
    <t>999.7358053420045</t>
  </si>
  <si>
    <t>1.1225978143489346</t>
  </si>
  <si>
    <t>0.20567549142857142</t>
  </si>
  <si>
    <t>0.22126</t>
  </si>
  <si>
    <t>0.2188037142857143</t>
  </si>
  <si>
    <t>0.21834</t>
  </si>
  <si>
    <t>75.26226796603879</t>
  </si>
  <si>
    <t>230.06802274837287</t>
  </si>
  <si>
    <t>57.33104231553141</t>
  </si>
  <si>
    <t>725.7093963991318</t>
  </si>
  <si>
    <t>1.5851250093352667</t>
  </si>
  <si>
    <t>0.12670870857142855</t>
  </si>
  <si>
    <t>0.13991</t>
  </si>
  <si>
    <t>0.13772685714285712</t>
  </si>
  <si>
    <t>0.1372</t>
  </si>
  <si>
    <t>70.48479311825369</t>
  </si>
  <si>
    <t>224.46024600066124</t>
  </si>
  <si>
    <t>236.85457418323836</t>
  </si>
  <si>
    <t>-12.394328182577098</t>
  </si>
  <si>
    <t>551.5994734151808</t>
  </si>
  <si>
    <t>2.14697969812021</t>
  </si>
  <si>
    <t>0.20535213142857142</t>
  </si>
  <si>
    <t>0.22315</t>
  </si>
  <si>
    <t>0.21845971428571428</t>
  </si>
  <si>
    <t>0.2179</t>
  </si>
  <si>
    <t>72.22702542520057</t>
  </si>
  <si>
    <t>230.0680227483729</t>
  </si>
  <si>
    <t>187.87872965785104</t>
  </si>
  <si>
    <t>42.189293090521865</t>
  </si>
  <si>
    <t>534.0416846901502</t>
  </si>
  <si>
    <t>1.759026823597655</t>
  </si>
  <si>
    <t>0.1304701942857143</t>
  </si>
  <si>
    <t>0.14431</t>
  </si>
  <si>
    <t>0.1418154285714286</t>
  </si>
  <si>
    <t>0.1413</t>
  </si>
  <si>
    <t>71.72695703454772</t>
  </si>
  <si>
    <t>236.85457418323833</t>
  </si>
  <si>
    <t>218.42487077740063</t>
  </si>
  <si>
    <t>18.42970340583769</t>
  </si>
  <si>
    <t>312.36785433623197</t>
  </si>
  <si>
    <t>3.496276389283781</t>
  </si>
  <si>
    <t>0.2224565057142857</t>
  </si>
  <si>
    <t>0.24493</t>
  </si>
  <si>
    <t>0.23665585714285714</t>
  </si>
  <si>
    <t>0.23487</t>
  </si>
  <si>
    <t>82.3519404436272</t>
  </si>
  <si>
    <t>145.08627642782793</t>
  </si>
  <si>
    <t>19.384745865147014</t>
  </si>
  <si>
    <t>245.37652993856983</t>
  </si>
  <si>
    <t>2.9564008518693776</t>
  </si>
  <si>
    <t>0.8886674285714287</t>
  </si>
  <si>
    <t>0.9945</t>
  </si>
  <si>
    <t>0.9659428571428572</t>
  </si>
  <si>
    <t>0.9513</t>
  </si>
  <si>
    <t>80.3789563125253</t>
  </si>
  <si>
    <t>166.82512027404445</t>
  </si>
  <si>
    <t>21.05360938380659</t>
  </si>
  <si>
    <t>266.5013846051467</t>
  </si>
  <si>
    <t>3.129910948140393</t>
  </si>
  <si>
    <t>0.14451675428571428</t>
  </si>
  <si>
    <t>0.162</t>
  </si>
  <si>
    <t>0.15708342857142857</t>
  </si>
  <si>
    <t>0.15536</t>
  </si>
  <si>
    <t>75.31645368998404</t>
  </si>
  <si>
    <t>317.8205981510553</t>
  </si>
  <si>
    <t>65.3541876906982</t>
  </si>
  <si>
    <t>660.1433100070525</t>
  </si>
  <si>
    <t>2.4072091115159524</t>
  </si>
  <si>
    <t>0.18490885714285712</t>
  </si>
  <si>
    <t>0.2104</t>
  </si>
  <si>
    <t>0.2054542857142857</t>
  </si>
  <si>
    <t>0.2035</t>
  </si>
  <si>
    <t>72.88142667212392</t>
  </si>
  <si>
    <t>153.4102190310667</t>
  </si>
  <si>
    <t>-8.32394260323878</t>
  </si>
  <si>
    <t>653.431651685444</t>
  </si>
  <si>
    <t>1.1738811445341264</t>
  </si>
  <si>
    <t>0.877772</t>
  </si>
  <si>
    <t>0.9653</t>
  </si>
  <si>
    <t>0.9541</t>
  </si>
  <si>
    <t>0.949</t>
  </si>
  <si>
    <t>70.15425604046139</t>
  </si>
  <si>
    <t>125.72758243556018</t>
  </si>
  <si>
    <t>27.682636595506526</t>
  </si>
  <si>
    <t>350.41312146210794</t>
  </si>
  <si>
    <t>1.793990788800353</t>
  </si>
  <si>
    <t>0.8989057142857143</t>
  </si>
  <si>
    <t>0.9946</t>
  </si>
  <si>
    <t>0.9770714285714286</t>
  </si>
  <si>
    <t>0.9677</t>
  </si>
  <si>
    <t>74.34165707962796</t>
  </si>
  <si>
    <t>231.06372648828273</t>
  </si>
  <si>
    <t>-12.638855710882087</t>
  </si>
  <si>
    <t>1085.6693864679503</t>
  </si>
  <si>
    <t>1.064153274322357</t>
  </si>
  <si>
    <t>0.22522426857142855</t>
  </si>
  <si>
    <t>0.24215</t>
  </si>
  <si>
    <t>0.2396002857142857</t>
  </si>
  <si>
    <t>0.23878</t>
  </si>
  <si>
    <t>76.74446545690228</t>
  </si>
  <si>
    <t>166.27187704217653</t>
  </si>
  <si>
    <t>151.5487211088788</t>
  </si>
  <si>
    <t>1530.7951627159473</t>
  </si>
  <si>
    <t>0.5430898956695677</t>
  </si>
  <si>
    <t>0.19791514285714287</t>
  </si>
  <si>
    <t>0.2211</t>
  </si>
  <si>
    <t>0.2199057142857143</t>
  </si>
  <si>
    <t>0.2189</t>
  </si>
  <si>
    <t>75.0919773632942</t>
  </si>
  <si>
    <t>176.54983208622664</t>
  </si>
  <si>
    <t>-9.724711812182194</t>
  </si>
  <si>
    <t>897.2202078708631</t>
  </si>
  <si>
    <t>0.9838712421847138</t>
  </si>
  <si>
    <t>0.13903329142857143</t>
  </si>
  <si>
    <t>0.15261</t>
  </si>
  <si>
    <t>0.15112314285714284</t>
  </si>
  <si>
    <t>0.15031</t>
  </si>
  <si>
    <t>71.52946034761213</t>
  </si>
  <si>
    <t>111.72634334279266</t>
  </si>
  <si>
    <t>14.001239092767513</t>
  </si>
  <si>
    <t>177.23087459199382</t>
  </si>
  <si>
    <t>3.151999999999994</t>
  </si>
  <si>
    <t>0.9035714285714286</t>
  </si>
  <si>
    <t>1.0131</t>
  </si>
  <si>
    <t>0.9821428571428571</t>
  </si>
  <si>
    <t>0.97</t>
  </si>
  <si>
    <t>75.39678173900984</t>
  </si>
  <si>
    <t>210.59161199621374</t>
  </si>
  <si>
    <t>20.472114492068982</t>
  </si>
  <si>
    <t>346.9849913909997</t>
  </si>
  <si>
    <t>3.034592521595679</t>
  </si>
  <si>
    <t>0.22122725428571427</t>
  </si>
  <si>
    <t>0.24249</t>
  </si>
  <si>
    <t>0.23534814285714284</t>
  </si>
  <si>
    <t>0.2342</t>
  </si>
  <si>
    <t>74.89476304382278</t>
  </si>
  <si>
    <t>152.06579490606362</t>
  </si>
  <si>
    <t>24.484037180163035</t>
  </si>
  <si>
    <t>309.9245212678865</t>
  </si>
  <si>
    <t>2.4532714333794834</t>
  </si>
  <si>
    <t>0.15151453714285715</t>
  </si>
  <si>
    <t>0.16873</t>
  </si>
  <si>
    <t>0.16468971428571427</t>
  </si>
  <si>
    <t>0.1638</t>
  </si>
  <si>
    <t>73.59549714194674</t>
  </si>
  <si>
    <t>222.10495585337753</t>
  </si>
  <si>
    <t>-11.513343857163783</t>
  </si>
  <si>
    <t>408.0960644949059</t>
  </si>
  <si>
    <t>2.7212337385349863</t>
  </si>
  <si>
    <t>0.21312633428571426</t>
  </si>
  <si>
    <t>0.2329</t>
  </si>
  <si>
    <t>0.22673014285714285</t>
  </si>
  <si>
    <t>0.22536</t>
  </si>
  <si>
    <t>77.48190257190359</t>
  </si>
  <si>
    <t>160.46735852196542</t>
  </si>
  <si>
    <t>-8.401563615901793</t>
  </si>
  <si>
    <t>378.19568980352</t>
  </si>
  <si>
    <t>2.1214858186952283</t>
  </si>
  <si>
    <t>0.15191670857142858</t>
  </si>
  <si>
    <t>0.16863</t>
  </si>
  <si>
    <t>0.16512685714285716</t>
  </si>
  <si>
    <t>0.16428</t>
  </si>
  <si>
    <t>73.95509186706832</t>
  </si>
  <si>
    <t>206.6137149916754</t>
  </si>
  <si>
    <t>15.49124086170211</t>
  </si>
  <si>
    <t>262.56340443562897</t>
  </si>
  <si>
    <t>3.93454897943193</t>
  </si>
  <si>
    <t>0.23134944285714285</t>
  </si>
  <si>
    <t>0.2558</t>
  </si>
  <si>
    <t>0.24611642857142857</t>
  </si>
  <si>
    <t>0.24476</t>
  </si>
  <si>
    <t>73.1362246162258</t>
  </si>
  <si>
    <t>206.61371499167544</t>
  </si>
  <si>
    <t>217.82051510586956</t>
  </si>
  <si>
    <t>-11.206800114194136</t>
  </si>
  <si>
    <t>315.77435890065726</t>
  </si>
  <si>
    <t>3.4489899031731706</t>
  </si>
  <si>
    <t>0.22697428</t>
  </si>
  <si>
    <t>0.24979</t>
  </si>
  <si>
    <t>0.241462</t>
  </si>
  <si>
    <t>0.24001</t>
  </si>
  <si>
    <t>74.45346359599095</t>
  </si>
  <si>
    <t>141.7776188478603</t>
  </si>
  <si>
    <t>18.689739674105116</t>
  </si>
  <si>
    <t>236.57898321652047</t>
  </si>
  <si>
    <t>2.9964119576527093</t>
  </si>
  <si>
    <t>0.16900899428571428</t>
  </si>
  <si>
    <t>0.18921</t>
  </si>
  <si>
    <t>0.18370542857142855</t>
  </si>
  <si>
    <t>0.18205</t>
  </si>
  <si>
    <t>71.23182536057459</t>
  </si>
  <si>
    <t>175.55824133176085</t>
  </si>
  <si>
    <t>-9.286364289584336</t>
  </si>
  <si>
    <t>508.45222299629273</t>
  </si>
  <si>
    <t>1.7263986013985908</t>
  </si>
  <si>
    <t>0.2118034285714286</t>
  </si>
  <si>
    <t>0.2394</t>
  </si>
  <si>
    <t>0.23533714285714288</t>
  </si>
  <si>
    <t>0.234</t>
  </si>
  <si>
    <t>76.32734982950721</t>
  </si>
  <si>
    <t>111.72634334279267</t>
  </si>
  <si>
    <t>117.83190746404628</t>
  </si>
  <si>
    <t>-6.10556412125361</t>
  </si>
  <si>
    <t>213.9687480512963</t>
  </si>
  <si>
    <t>2.7534840610414184</t>
  </si>
  <si>
    <t>0.9925814285714286</t>
  </si>
  <si>
    <t>1.1086</t>
  </si>
  <si>
    <t>1.078892857142857</t>
  </si>
  <si>
    <t>1.0526</t>
  </si>
  <si>
    <t>73.50796191710336</t>
  </si>
  <si>
    <t>230.18224781783604</t>
  </si>
  <si>
    <t>-12.361732711966486</t>
  </si>
  <si>
    <t>852.6203210746839</t>
  </si>
  <si>
    <t>1.3498519923129628</t>
  </si>
  <si>
    <t>0.22087945428571426</t>
  </si>
  <si>
    <t>0.23815</t>
  </si>
  <si>
    <t>0.23497814285714286</t>
  </si>
  <si>
    <t>0.2341</t>
  </si>
  <si>
    <t>75.02536958750667</t>
  </si>
  <si>
    <t>185.8822955026439</t>
  </si>
  <si>
    <t>-10.324054170883057</t>
  </si>
  <si>
    <t>1029.9393957508623</t>
  </si>
  <si>
    <t>0.9023943363537867</t>
  </si>
  <si>
    <t>0.2063082857142857</t>
  </si>
  <si>
    <t>0.2313</t>
  </si>
  <si>
    <t>0.22923142857142856</t>
  </si>
  <si>
    <t>0.2281</t>
  </si>
  <si>
    <t>78.9174469330621</t>
  </si>
  <si>
    <t>204.32603196978846</t>
  </si>
  <si>
    <t>25.85621584804759</t>
  </si>
  <si>
    <t>438.2409465770778</t>
  </si>
  <si>
    <t>2.3312065379296047</t>
  </si>
  <si>
    <t>0.22195790285714284</t>
  </si>
  <si>
    <t>0.24163</t>
  </si>
  <si>
    <t>0.23612542857142857</t>
  </si>
  <si>
    <t>0.23533</t>
  </si>
  <si>
    <t>74.3065765625172</t>
  </si>
  <si>
    <t>150.04008336922308</t>
  </si>
  <si>
    <t>-8.26246452136276</t>
  </si>
  <si>
    <t>760.4603529016052</t>
  </si>
  <si>
    <t>0.9865082564576286</t>
  </si>
  <si>
    <t>0.16757169142857145</t>
  </si>
  <si>
    <t>0.18394</t>
  </si>
  <si>
    <t>0.18214314285714286</t>
  </si>
  <si>
    <t>0.18085</t>
  </si>
  <si>
    <t>70.08956380987532</t>
  </si>
  <si>
    <t>142.77925961626866</t>
  </si>
  <si>
    <t>7.26082375295441</t>
  </si>
  <si>
    <t>91.90916142980267</t>
  </si>
  <si>
    <t>7.767411724527537</t>
  </si>
  <si>
    <t>0.16471101714285716</t>
  </si>
  <si>
    <t>0.19294</t>
  </si>
  <si>
    <t>0.1790337142857143</t>
  </si>
  <si>
    <t>0.17752</t>
  </si>
  <si>
    <t>75.42362715502583</t>
  </si>
  <si>
    <t>103.48273172107392</t>
  </si>
  <si>
    <t>14.349175742972365</t>
  </si>
  <si>
    <t>181.63513598699197</t>
  </si>
  <si>
    <t>2.84864299957044</t>
  </si>
  <si>
    <t>1.0249391428571426</t>
  </si>
  <si>
    <t>1.1458</t>
  </si>
  <si>
    <t>1.1140642857142855</t>
  </si>
  <si>
    <t>1.1018</t>
  </si>
  <si>
    <t>71.99996838006533</t>
  </si>
  <si>
    <t>109.16206683803797</t>
  </si>
  <si>
    <t>-5.6793351169640545</t>
  </si>
  <si>
    <t>221.2317750621556</t>
  </si>
  <si>
    <t>2.46714258852212</t>
  </si>
  <si>
    <t>1.0134917142857143</t>
  </si>
  <si>
    <t>1.1288</t>
  </si>
  <si>
    <t>1.1016214285714285</t>
  </si>
  <si>
    <t>1.0886</t>
  </si>
  <si>
    <t>70.5978816642891</t>
  </si>
  <si>
    <t>215.47621223700443</t>
  </si>
  <si>
    <t>-11.150180267215969</t>
  </si>
  <si>
    <t>376.36965536574553</t>
  </si>
  <si>
    <t>2.862560904752147</t>
  </si>
  <si>
    <t>0.22348889428571428</t>
  </si>
  <si>
    <t>0.24456</t>
  </si>
  <si>
    <t>0.23775414285714286</t>
  </si>
  <si>
    <t>0.23648</t>
  </si>
  <si>
    <t>73.5040158001265</t>
  </si>
  <si>
    <t>196.4146898313362</t>
  </si>
  <si>
    <t>-10.532394328692304</t>
  </si>
  <si>
    <t>711.659837125493</t>
  </si>
  <si>
    <t>1.3799759350245637</t>
  </si>
  <si>
    <t>0.20515885714285714</t>
  </si>
  <si>
    <t>0.2311</t>
  </si>
  <si>
    <t>0.22795428571428572</t>
  </si>
  <si>
    <t>0.2268</t>
  </si>
  <si>
    <t>73.7361565339256</t>
  </si>
  <si>
    <t>227.19980286045555</t>
  </si>
  <si>
    <t>-11.723590623451123</t>
  </si>
  <si>
    <t>363.60048042834507</t>
  </si>
  <si>
    <t>3.1243055921268224</t>
  </si>
  <si>
    <t>0.20909386857142856</t>
  </si>
  <si>
    <t>0.22939</t>
  </si>
  <si>
    <t>0.2224402857142857</t>
  </si>
  <si>
    <t>0.22132</t>
  </si>
  <si>
    <t>73.0848112240325</t>
  </si>
  <si>
    <t>115.07982267923252</t>
  </si>
  <si>
    <t>-5.917755841194553</t>
  </si>
  <si>
    <t>163.76470723292553</t>
  </si>
  <si>
    <t>3.5135721433419844</t>
  </si>
  <si>
    <t>0.9390768571428572</t>
  </si>
  <si>
    <t>1.0566</t>
  </si>
  <si>
    <t>1.0207357142857143</t>
  </si>
  <si>
    <t>1.0133</t>
  </si>
  <si>
    <t>73.19476313602894</t>
  </si>
  <si>
    <t>150.54839546340554</t>
  </si>
  <si>
    <t>-7.769135847136877</t>
  </si>
  <si>
    <t>241.71607396659996</t>
  </si>
  <si>
    <t>3.1141577180383986</t>
  </si>
  <si>
    <t>0.1498564342857143</t>
  </si>
  <si>
    <t>0.16796</t>
  </si>
  <si>
    <t>0.16288742857142857</t>
  </si>
  <si>
    <t>0.16164</t>
  </si>
  <si>
    <t>72.55022124812844</t>
  </si>
  <si>
    <t>241.19294458571457</t>
  </si>
  <si>
    <t>-13.993141725259012</t>
  </si>
  <si>
    <t>1933.4944959732825</t>
  </si>
  <si>
    <t>0.6237228631579396</t>
  </si>
  <si>
    <t>0.20838604857142856</t>
  </si>
  <si>
    <t>0.22307</t>
  </si>
  <si>
    <t>0.22168728571428573</t>
  </si>
  <si>
    <t>0.22078</t>
  </si>
  <si>
    <t>76.30176286742179</t>
  </si>
  <si>
    <t>121.77104626693472</t>
  </si>
  <si>
    <t>-6.6912235877021935</t>
  </si>
  <si>
    <t>602.6712743554574</t>
  </si>
  <si>
    <t>1.0102609121130417</t>
  </si>
  <si>
    <t>0.9132577142857145</t>
  </si>
  <si>
    <t>1.0027</t>
  </si>
  <si>
    <t>0.9926714285714286</t>
  </si>
  <si>
    <t>0.9814</t>
  </si>
  <si>
    <t>70.44850454311019</t>
  </si>
  <si>
    <t>207.95508003327572</t>
  </si>
  <si>
    <t>-11.540390201939527</t>
  </si>
  <si>
    <t>1142.636200275741</t>
  </si>
  <si>
    <t>0.9099793966928931</t>
  </si>
  <si>
    <t>0.19469828571428574</t>
  </si>
  <si>
    <t>0.2183</t>
  </si>
  <si>
    <t>0.2163314285714286</t>
  </si>
  <si>
    <t>0.2154</t>
  </si>
  <si>
    <t>72.90554005753006</t>
  </si>
  <si>
    <t>255.56542185202733</t>
  </si>
  <si>
    <t>-14.37247726631275</t>
  </si>
  <si>
    <t>1594.2061737113834</t>
  </si>
  <si>
    <t>0.8015444491005188</t>
  </si>
  <si>
    <t>0.20060486285714285</t>
  </si>
  <si>
    <t>0.21512</t>
  </si>
  <si>
    <t>0.21340942857142858</t>
  </si>
  <si>
    <t>0.21268</t>
  </si>
  <si>
    <t>72.39259820281761</t>
  </si>
  <si>
    <t>159.2426889907346</t>
  </si>
  <si>
    <t>-8.694293527329053</t>
  </si>
  <si>
    <t>732.1590777923242</t>
  </si>
  <si>
    <t>1.0874869534561964</t>
  </si>
  <si>
    <t>0.15135918857142858</t>
  </si>
  <si>
    <t>0.16631</t>
  </si>
  <si>
    <t>0.16452085714285714</t>
  </si>
  <si>
    <t>0.16351</t>
  </si>
  <si>
    <t>70.95732757954062</t>
  </si>
  <si>
    <t>168.25073595883592</t>
  </si>
  <si>
    <t>-9.008046968101324</t>
  </si>
  <si>
    <t>595.5101701595281</t>
  </si>
  <si>
    <t>1.4126604749148457</t>
  </si>
  <si>
    <t>0.1474809942857143</t>
  </si>
  <si>
    <t>0.16257</t>
  </si>
  <si>
    <t>0.16030542857142857</t>
  </si>
  <si>
    <t>0.15961</t>
  </si>
  <si>
    <t>72.33354064865212</t>
  </si>
  <si>
    <t>128.2792690331009</t>
  </si>
  <si>
    <t>-6.508222766166165</t>
  </si>
  <si>
    <t>94.25931451112011</t>
  </si>
  <si>
    <t>6.804593779321795</t>
  </si>
  <si>
    <t>0.8474317142857143</t>
  </si>
  <si>
    <t>0.9838</t>
  </si>
  <si>
    <t>0.9211214285714285</t>
  </si>
  <si>
    <t>0.9085</t>
  </si>
  <si>
    <t>71.07418419628141</t>
  </si>
  <si>
    <t>111.86370173031096</t>
  </si>
  <si>
    <t>16.41556730278992</t>
  </si>
  <si>
    <t>207.79199117455596</t>
  </si>
  <si>
    <t>2.6917231289328116</t>
  </si>
  <si>
    <t>0.9252702857142858</t>
  </si>
  <si>
    <t>1.0328</t>
  </si>
  <si>
    <t>1.0057285714285715</t>
  </si>
  <si>
    <t>0.9926</t>
  </si>
  <si>
    <t>73.22466014109935</t>
  </si>
  <si>
    <t>177.42240295597847</t>
  </si>
  <si>
    <t>-9.171666997142541</t>
  </si>
  <si>
    <t>300.5468493436158</t>
  </si>
  <si>
    <t>2.9516596720854507</t>
  </si>
  <si>
    <t>0.14712613714285716</t>
  </si>
  <si>
    <t>0.16464</t>
  </si>
  <si>
    <t>0.1599197142857143</t>
  </si>
  <si>
    <t>0.15853</t>
  </si>
  <si>
    <t>76.32248298959877</t>
  </si>
  <si>
    <t>197.63419057544087</t>
  </si>
  <si>
    <t>57.93123127658647</t>
  </si>
  <si>
    <t>981.885275874347</t>
  </si>
  <si>
    <t>1.006401640962851</t>
  </si>
  <si>
    <t>0.1965313057142857</t>
  </si>
  <si>
    <t>0.21118</t>
  </si>
  <si>
    <t>0.20907585714285715</t>
  </si>
  <si>
    <t>0.20846</t>
  </si>
  <si>
    <t>72.26161672060138</t>
  </si>
  <si>
    <t>111.86370173031098</t>
  </si>
  <si>
    <t>89.73166118930914</t>
  </si>
  <si>
    <t>22.132040541001846</t>
  </si>
  <si>
    <t>280.15241191141575</t>
  </si>
  <si>
    <t>1.6014793621995</t>
  </si>
  <si>
    <t>0.9417185714285715</t>
  </si>
  <si>
    <t>1.04</t>
  </si>
  <si>
    <t>1.023607142857143</t>
  </si>
  <si>
    <t>1.0111</t>
  </si>
  <si>
    <t>74.83015646407725</t>
  </si>
  <si>
    <t>187.06124231142277</t>
  </si>
  <si>
    <t>-9.638839355444317</t>
  </si>
  <si>
    <t>285.777239873176</t>
  </si>
  <si>
    <t>3.2728506020010206</t>
  </si>
  <si>
    <t>0.14880658285714285</t>
  </si>
  <si>
    <t>0.16704</t>
  </si>
  <si>
    <t>0.1617462857142857</t>
  </si>
  <si>
    <t>0.1606</t>
  </si>
  <si>
    <t>72.70349802959505</t>
  </si>
  <si>
    <t>94.68215538911198</t>
  </si>
  <si>
    <t>-4.95049419980284</t>
  </si>
  <si>
    <t>216.38643034724058</t>
  </si>
  <si>
    <t>2.1878025169409474</t>
  </si>
  <si>
    <t>0.8824771428571428</t>
  </si>
  <si>
    <t>0.9802</t>
  </si>
  <si>
    <t>0.9592142857142857</t>
  </si>
  <si>
    <t>0.9498</t>
  </si>
  <si>
    <t>70.47609045172904</t>
  </si>
  <si>
    <t>198.03647643155222</t>
  </si>
  <si>
    <t>-10.975234120129448</t>
  </si>
  <si>
    <t>1073.4102985518373</t>
  </si>
  <si>
    <t>0.922464022837902</t>
  </si>
  <si>
    <t>0.1480605942857143</t>
  </si>
  <si>
    <t>0.16242</t>
  </si>
  <si>
    <t>0.1609354285714286</t>
  </si>
  <si>
    <t>0.16034</t>
  </si>
  <si>
    <t>72.5950436051721</t>
  </si>
  <si>
    <t>220.68072421025025</t>
  </si>
  <si>
    <t>-12.725644176974523</t>
  </si>
  <si>
    <t>1691.6079664620095</t>
  </si>
  <si>
    <t>0.6522809320643098</t>
  </si>
  <si>
    <t>0.18804342857142858</t>
  </si>
  <si>
    <t>0.2103</t>
  </si>
  <si>
    <t>0.20893714285714288</t>
  </si>
  <si>
    <t>0.2076</t>
  </si>
  <si>
    <t>72.05092619688057</t>
  </si>
  <si>
    <t>158.73518649674506</t>
  </si>
  <si>
    <t>61.94553771350519</t>
  </si>
  <si>
    <t>625.712502156618</t>
  </si>
  <si>
    <t>1.2684354711599888</t>
  </si>
  <si>
    <t>0.20556257142857143</t>
  </si>
  <si>
    <t>0.22840285714285713</t>
  </si>
  <si>
    <t>0.2273</t>
  </si>
  <si>
    <t>73.40411263351169</t>
  </si>
  <si>
    <t>148.27926050250807</t>
  </si>
  <si>
    <t>10.455925994236996</t>
  </si>
  <si>
    <t>105.61541408320197</t>
  </si>
  <si>
    <t>7.019773666071899</t>
  </si>
  <si>
    <t>0.21040971428571428</t>
  </si>
  <si>
    <t>0.2502</t>
  </si>
  <si>
    <t>0.23378857142857143</t>
  </si>
  <si>
    <t>0.2316</t>
  </si>
  <si>
    <t>72.03327015134052</t>
  </si>
  <si>
    <t>153.21891970859542</t>
  </si>
  <si>
    <t>44.81755672295679</t>
  </si>
  <si>
    <t>567.3108445943897</t>
  </si>
  <si>
    <t>1.3503965345325135</t>
  </si>
  <si>
    <t>0.19903148571428572</t>
  </si>
  <si>
    <t>0.21926</t>
  </si>
  <si>
    <t>0.21633857142857144</t>
  </si>
  <si>
    <t>0.21435</t>
  </si>
  <si>
    <t>70.03215712753803</t>
  </si>
  <si>
    <t>161.49480670175961</t>
  </si>
  <si>
    <t>-8.275886993164184</t>
  </si>
  <si>
    <t>201.1466580762025</t>
  </si>
  <si>
    <t>4.0143547063202725</t>
  </si>
  <si>
    <t>0.19278415999999998</t>
  </si>
  <si>
    <t>0.21796</t>
  </si>
  <si>
    <t>0.20954799999999998</t>
  </si>
  <si>
    <t>0.20764</t>
  </si>
  <si>
    <t>75.93154876379398</t>
  </si>
  <si>
    <t>208.6860025018021</t>
  </si>
  <si>
    <t>-11.051811926361228</t>
  </si>
  <si>
    <t>617.511801271122</t>
  </si>
  <si>
    <t>1.6897329093325082</t>
  </si>
  <si>
    <t>0.22486478571428567</t>
  </si>
  <si>
    <t>0.24326</t>
  </si>
  <si>
    <t>0.23921785714285712</t>
  </si>
  <si>
    <t>0.2385</t>
  </si>
  <si>
    <t>73.03042527376846</t>
  </si>
  <si>
    <t>99.79007927006481</t>
  </si>
  <si>
    <t>-5.107923880952823</t>
  </si>
  <si>
    <t>118.41991744958221</t>
  </si>
  <si>
    <t>4.2133992920806955</t>
  </si>
  <si>
    <t>1.2327474285714286</t>
  </si>
  <si>
    <t>1.3964</t>
  </si>
  <si>
    <t>1.339942857142857</t>
  </si>
  <si>
    <t>1.3283</t>
  </si>
  <si>
    <t>70.7627654300873</t>
  </si>
  <si>
    <t>170.735533932485</t>
  </si>
  <si>
    <t>-9.240727230725387</t>
  </si>
  <si>
    <t>703.9505341011371</t>
  </si>
  <si>
    <t>1.2126955351379511</t>
  </si>
  <si>
    <t>0.19139417142857143</t>
  </si>
  <si>
    <t>0.21056</t>
  </si>
  <si>
    <t>0.20803714285714286</t>
  </si>
  <si>
    <t>0.20684</t>
  </si>
  <si>
    <t>71.06027002363464</t>
  </si>
  <si>
    <t>156.35701585629536</t>
  </si>
  <si>
    <t>-8.077755353787293</t>
  </si>
  <si>
    <t>259.904560972523</t>
  </si>
  <si>
    <t>3.007969834604507</t>
  </si>
  <si>
    <t>0.210042</t>
  </si>
  <si>
    <t>0.2404</t>
  </si>
  <si>
    <t>0.23338</t>
  </si>
  <si>
    <t>72.07134876333106</t>
  </si>
  <si>
    <t>154.0750282613642</t>
  </si>
  <si>
    <t>16.660505671120816</t>
  </si>
  <si>
    <t>210.89247684963058</t>
  </si>
  <si>
    <t>3.652928510371233</t>
  </si>
  <si>
    <t>0.1943439542857143</t>
  </si>
  <si>
    <t>0.21896</t>
  </si>
  <si>
    <t>0.21124342857142858</t>
  </si>
  <si>
    <t>0.20834</t>
  </si>
  <si>
    <t>70.99928631139755</t>
  </si>
  <si>
    <t>202.1470098263946</t>
  </si>
  <si>
    <t>6.538992675407515</t>
  </si>
  <si>
    <t>110.83038432894094</t>
  </si>
  <si>
    <t>9.119656628927178</t>
  </si>
  <si>
    <t>0.24791372</t>
  </si>
  <si>
    <t>0.28779</t>
  </si>
  <si>
    <t>0.26373800000000003</t>
  </si>
  <si>
    <t>0.26132</t>
  </si>
  <si>
    <t>72.67983287029281</t>
  </si>
  <si>
    <t>154.07502826136417</t>
  </si>
  <si>
    <t>146.37352047616255</t>
  </si>
  <si>
    <t>7.701507785201618</t>
  </si>
  <si>
    <t>97.48744031900782</t>
  </si>
  <si>
    <t>7.507301453253105</t>
  </si>
  <si>
    <t>0.20916384000000002</t>
  </si>
  <si>
    <t>0.24442</t>
  </si>
  <si>
    <t>0.227352</t>
  </si>
  <si>
    <t>0.22174</t>
  </si>
  <si>
    <t>70.61907238681088</t>
  </si>
  <si>
    <t>105.1485846542168</t>
  </si>
  <si>
    <t>-5.358505384151991</t>
  </si>
  <si>
    <t>101.0761514411506</t>
  </si>
  <si>
    <t>5.201453713611034</t>
  </si>
  <si>
    <t>1.4248434285714286</t>
  </si>
  <si>
    <t>1.6293</t>
  </si>
  <si>
    <t>1.5487428571428572</t>
  </si>
  <si>
    <t>1.5179</t>
  </si>
  <si>
    <t>70.20674243293276</t>
  </si>
  <si>
    <t>154.23027007871346</t>
  </si>
  <si>
    <t>-7.856749602550914</t>
  </si>
  <si>
    <t>145.23609861524042</t>
  </si>
  <si>
    <t>5.309639667728215</t>
  </si>
  <si>
    <t>0.18884918857142857</t>
  </si>
  <si>
    <t>0.21617</t>
  </si>
  <si>
    <t>0.20527085714285714</t>
  </si>
  <si>
    <t>0.2021</t>
  </si>
  <si>
    <t>77.69065628749773</t>
  </si>
  <si>
    <t>142.3521910178684</t>
  </si>
  <si>
    <t>14.00482483842698</t>
  </si>
  <si>
    <t>141.46287715582807</t>
  </si>
  <si>
    <t>5.031432764549979</t>
  </si>
  <si>
    <t>0.23478685714285716</t>
  </si>
  <si>
    <t>0.274</t>
  </si>
  <si>
    <t>0.2608742857142857</t>
  </si>
  <si>
    <t>0.258</t>
  </si>
  <si>
    <t>75.44723012821812</t>
  </si>
  <si>
    <t>162.56951179861846</t>
  </si>
  <si>
    <t>-8.339241719905</t>
  </si>
  <si>
    <t>210.76612997407702</t>
  </si>
  <si>
    <t>3.8566327478379367</t>
  </si>
  <si>
    <t>0.17829232</t>
  </si>
  <si>
    <t>0.20127</t>
  </si>
  <si>
    <t>0.193796</t>
  </si>
  <si>
    <t>0.19196</t>
  </si>
  <si>
    <t>72.06181886102297</t>
  </si>
  <si>
    <t>110.99390885304965</t>
  </si>
  <si>
    <t>-5.84532419883284</t>
  </si>
  <si>
    <t>295.628756180358</t>
  </si>
  <si>
    <t>1.8772515618428909</t>
  </si>
  <si>
    <t>1.2969568571428571</t>
  </si>
  <si>
    <t>1.4362</t>
  </si>
  <si>
    <t>1.4097357142857143</t>
  </si>
  <si>
    <t>1.3904</t>
  </si>
  <si>
    <t>70.05259634596824</t>
  </si>
  <si>
    <t>212.97023570241586</t>
  </si>
  <si>
    <t>-10.823225876021276</t>
  </si>
  <si>
    <t>174.7140909004822</t>
  </si>
  <si>
    <t>6.094821390900993</t>
  </si>
  <si>
    <t>0.2285259514285714</t>
  </si>
  <si>
    <t>0.25793</t>
  </si>
  <si>
    <t>0.24311271428571427</t>
  </si>
  <si>
    <t>0.2415</t>
  </si>
  <si>
    <t>78.09850911347735</t>
  </si>
  <si>
    <t>196.4527374579442</t>
  </si>
  <si>
    <t>16.517498244471664</t>
  </si>
  <si>
    <t>279.9575973639265</t>
  </si>
  <si>
    <t>3.5086159351940824</t>
  </si>
  <si>
    <t>0.23106636857142857</t>
  </si>
  <si>
    <t>0.25444</t>
  </si>
  <si>
    <t>0.2458152857142857</t>
  </si>
  <si>
    <t>0.24357</t>
  </si>
  <si>
    <t>72.59784058501452</t>
  </si>
  <si>
    <t>142.63212436580866</t>
  </si>
  <si>
    <t>19.937387432809807</t>
  </si>
  <si>
    <t>252.37199282037733</t>
  </si>
  <si>
    <t>2.825831083152823</t>
  </si>
  <si>
    <t>0.18602952</t>
  </si>
  <si>
    <t>0.20792</t>
  </si>
  <si>
    <t>0.202206</t>
  </si>
  <si>
    <t>0.19995</t>
  </si>
  <si>
    <t>70.17838982195218</t>
  </si>
  <si>
    <t>207.2307843264498</t>
  </si>
  <si>
    <t>-10.778046868505594</t>
  </si>
  <si>
    <t>416.50765218310414</t>
  </si>
  <si>
    <t>2.4877188118904896</t>
  </si>
  <si>
    <t>0.22863539428571428</t>
  </si>
  <si>
    <t>0.24928</t>
  </si>
  <si>
    <t>0.24322914285714287</t>
  </si>
  <si>
    <t>0.24113</t>
  </si>
  <si>
    <t>75.1421869860194</t>
  </si>
  <si>
    <t>105.84215030003432</t>
  </si>
  <si>
    <t>5.151758553015333</t>
  </si>
  <si>
    <t>65.21213358247257</t>
  </si>
  <si>
    <t>8.115219092331778</t>
  </si>
  <si>
    <t>1.3437257142857142</t>
  </si>
  <si>
    <t>1.5791</t>
  </si>
  <si>
    <t>1.4605714285714284</t>
  </si>
  <si>
    <t>1.4218</t>
  </si>
  <si>
    <t>71.23159695877115</t>
  </si>
  <si>
    <t>150.09935747211273</t>
  </si>
  <si>
    <t>-7.747166454244346</t>
  </si>
  <si>
    <t>242.19858063870933</t>
  </si>
  <si>
    <t>3.0986836726350977</t>
  </si>
  <si>
    <t>0.22015800000000002</t>
  </si>
  <si>
    <t>0.2522</t>
  </si>
  <si>
    <t>0.24462</t>
  </si>
  <si>
    <t>0.2409</t>
  </si>
  <si>
    <t>75.90794511444142</t>
  </si>
  <si>
    <t>111.49635155154338</t>
  </si>
  <si>
    <t>-5.654201251509061</t>
  </si>
  <si>
    <t>79.38367393189051</t>
  </si>
  <si>
    <t>7.0226248061537735</t>
  </si>
  <si>
    <t>1.279733142857143</t>
  </si>
  <si>
    <t>1.4887</t>
  </si>
  <si>
    <t>1.3910142857142858</t>
  </si>
  <si>
    <t>1.365</t>
  </si>
  <si>
    <t>79.3190207480874</t>
  </si>
  <si>
    <t>218.36211002490103</t>
  </si>
  <si>
    <t>-11.131325698451235</t>
  </si>
  <si>
    <t>213.2201972061833</t>
  </si>
  <si>
    <t>5.1205775270375895</t>
  </si>
  <si>
    <t>0.19758491142857143</t>
  </si>
  <si>
    <t>0.22096</t>
  </si>
  <si>
    <t>0.2101967142857143</t>
  </si>
  <si>
    <t>0.20856</t>
  </si>
  <si>
    <t>82.79275486556672</t>
  </si>
  <si>
    <t>117.59306972385232</t>
  </si>
  <si>
    <t>-6.0967181723089405</t>
  </si>
  <si>
    <t>217.06468611632462</t>
  </si>
  <si>
    <t>2.7087102888038266</t>
  </si>
  <si>
    <t>1.2239351428571428</t>
  </si>
  <si>
    <t>1.3664</t>
  </si>
  <si>
    <t>1.3303642857142857</t>
  </si>
  <si>
    <t>1.3088</t>
  </si>
  <si>
    <t>73.2003383826904</t>
  </si>
  <si>
    <t>158.60723621968515</t>
  </si>
  <si>
    <t>-8.507878747572406</t>
  </si>
  <si>
    <t>577.5169365881478</t>
  </si>
  <si>
    <t>1.3731825525040386</t>
  </si>
  <si>
    <t>0.178272</t>
  </si>
  <si>
    <t>0.2008</t>
  </si>
  <si>
    <t>0.19808</t>
  </si>
  <si>
    <t>0.1956</t>
  </si>
  <si>
    <t>75.35515910559619</t>
  </si>
  <si>
    <t>103.73577232486353</t>
  </si>
  <si>
    <t>13.857297398988788</t>
  </si>
  <si>
    <t>175.4088278353011</t>
  </si>
  <si>
    <t>2.9569712540997517</t>
  </si>
  <si>
    <t>1.2762962857142857</t>
  </si>
  <si>
    <t>1.4283</t>
  </si>
  <si>
    <t>1.3872785714285714</t>
  </si>
  <si>
    <t>1.3648</t>
  </si>
  <si>
    <t>76.05429991022115</t>
  </si>
  <si>
    <t>196.78399235653754</t>
  </si>
  <si>
    <t>21.578117668363493</t>
  </si>
  <si>
    <t>365.73080793836436</t>
  </si>
  <si>
    <t>2.6902846039388217</t>
  </si>
  <si>
    <t>0.19295165142857143</t>
  </si>
  <si>
    <t>0.21079</t>
  </si>
  <si>
    <t>0.2052677142857143</t>
  </si>
  <si>
    <t>0.20394</t>
  </si>
  <si>
    <t>80.27594187017192</t>
  </si>
  <si>
    <t>109.44997042980384</t>
  </si>
  <si>
    <t>-5.714198104940304</t>
  </si>
  <si>
    <t>241.69958345011167</t>
  </si>
  <si>
    <t>2.2641737496497383</t>
  </si>
  <si>
    <t>1.1960591428571428</t>
  </si>
  <si>
    <t>1.3295</t>
  </si>
  <si>
    <t>1.3000642857142857</t>
  </si>
  <si>
    <t>1.285</t>
  </si>
  <si>
    <t>72.01460651232011</t>
  </si>
  <si>
    <t>207.65783936816246</t>
  </si>
  <si>
    <t>-10.873847011624907</t>
  </si>
  <si>
    <t>490.9550432167831</t>
  </si>
  <si>
    <t>2.1148355866513664</t>
  </si>
  <si>
    <t>0.18786222285714285</t>
  </si>
  <si>
    <t>0.20408</t>
  </si>
  <si>
    <t>0.19985342857142857</t>
  </si>
  <si>
    <t>0.19889</t>
  </si>
  <si>
    <t>72.77596636584036</t>
  </si>
  <si>
    <t>167.05495631724608</t>
  </si>
  <si>
    <t>-8.44772009756092</t>
  </si>
  <si>
    <t>94.9722816986153</t>
  </si>
  <si>
    <t>8.794932233352974</t>
  </si>
  <si>
    <t>0.17454857142857144</t>
  </si>
  <si>
    <t>0.211</t>
  </si>
  <si>
    <t>0.19394285714285714</t>
  </si>
  <si>
    <t>0.192</t>
  </si>
  <si>
    <t>77.27687705804715</t>
  </si>
  <si>
    <t>115.34228911204814</t>
  </si>
  <si>
    <t>-5.8923186822442934</t>
  </si>
  <si>
    <t>125.20422664188666</t>
  </si>
  <si>
    <t>4.606165950050314</t>
  </si>
  <si>
    <t>1.1493165714285716</t>
  </si>
  <si>
    <t>1.3068</t>
  </si>
  <si>
    <t>1.2492571428571428</t>
  </si>
  <si>
    <t>1.2306</t>
  </si>
  <si>
    <t>70.68952107379303</t>
  </si>
  <si>
    <t>218.75481975221942</t>
  </si>
  <si>
    <t>-11.096980384056948</t>
  </si>
  <si>
    <t>159.2393964459733</t>
  </si>
  <si>
    <t>6.868740545196632</t>
  </si>
  <si>
    <t>0.18801101142857143</t>
  </si>
  <si>
    <t>0.21375</t>
  </si>
  <si>
    <t>0.2000117142857143</t>
  </si>
  <si>
    <t>0.19857</t>
  </si>
  <si>
    <t>72.5345927943589</t>
  </si>
  <si>
    <t>96.79694966667229</t>
  </si>
  <si>
    <t>18.54533944537584</t>
  </si>
  <si>
    <t>234.75113221994735</t>
  </si>
  <si>
    <t>2.06169292457298</t>
  </si>
  <si>
    <t>1.248821142857143</t>
  </si>
  <si>
    <t>1.3854</t>
  </si>
  <si>
    <t>1.3574142857142857</t>
  </si>
  <si>
    <t>1.3373</t>
  </si>
  <si>
    <t>71.18542468556068</t>
  </si>
  <si>
    <t>145.66023708545063</t>
  </si>
  <si>
    <t>21.394719231795452</t>
  </si>
  <si>
    <t>216.10827506864092</t>
  </si>
  <si>
    <t>3.3700754179631858</t>
  </si>
  <si>
    <t>0.19502742857142857</t>
  </si>
  <si>
    <t>0.224</t>
  </si>
  <si>
    <t>0.21669714285714287</t>
  </si>
  <si>
    <t>0.214</t>
  </si>
  <si>
    <t>76.5853068143921</t>
  </si>
  <si>
    <t>102.80775444951139</t>
  </si>
  <si>
    <t>-6.0108047828391</t>
  </si>
  <si>
    <t>870.4170603635301</t>
  </si>
  <si>
    <t>0.5905660581065224</t>
  </si>
  <si>
    <t>1.2173308571428572</t>
  </si>
  <si>
    <t>1.331</t>
  </si>
  <si>
    <t>1.3231857142857142</t>
  </si>
  <si>
    <t>1.2985</t>
  </si>
  <si>
    <t>73.76802547050963</t>
  </si>
  <si>
    <t>231.70014494361251</t>
  </si>
  <si>
    <t>-12.94532519139309</t>
  </si>
  <si>
    <t>1360.3179442124626</t>
  </si>
  <si>
    <t>0.8516396697161566</t>
  </si>
  <si>
    <t>0.18229272285714285</t>
  </si>
  <si>
    <t>0.19558</t>
  </si>
  <si>
    <t>0.19392842857142856</t>
  </si>
  <si>
    <t>0.19274</t>
  </si>
  <si>
    <t>72.2928641252094</t>
  </si>
  <si>
    <t>153.58757441231188</t>
  </si>
  <si>
    <t>-7.927337326861249</t>
  </si>
  <si>
    <t>247.95860624565378</t>
  </si>
  <si>
    <t>3.097040605643507</t>
  </si>
  <si>
    <t>0.18681428571428568</t>
  </si>
  <si>
    <t>0.20757142857142855</t>
  </si>
  <si>
    <t>0.205</t>
  </si>
  <si>
    <t>76.23723468985747</t>
  </si>
  <si>
    <t>108.5696017004274</t>
  </si>
  <si>
    <t>-5.761847250916001</t>
  </si>
  <si>
    <t>333.36716589463094</t>
  </si>
  <si>
    <t>1.628378748834904</t>
  </si>
  <si>
    <t>1.0787065714285715</t>
  </si>
  <si>
    <t>1.1916</t>
  </si>
  <si>
    <t>1.172507142857143</t>
  </si>
  <si>
    <t>1.1612</t>
  </si>
  <si>
    <t>70.1630736896305</t>
  </si>
  <si>
    <t>150.55017710699258</t>
  </si>
  <si>
    <t>-7.9180527411839225</t>
  </si>
  <si>
    <t>390.5438858342925</t>
  </si>
  <si>
    <t>1.9274425047697576</t>
  </si>
  <si>
    <t>0.1654651542857143</t>
  </si>
  <si>
    <t>0.18332</t>
  </si>
  <si>
    <t>0.17985342857142858</t>
  </si>
  <si>
    <t>0.17845</t>
  </si>
  <si>
    <t>72.380174154626</t>
  </si>
  <si>
    <t>245.13427876739567</t>
  </si>
  <si>
    <t>-13.43413382378315</t>
  </si>
  <si>
    <t>1177.4198854133654</t>
  </si>
  <si>
    <t>1.0409807147147623</t>
  </si>
  <si>
    <t>0.16252613428571427</t>
  </si>
  <si>
    <t>0.1747</t>
  </si>
  <si>
    <t>0.17290014285714286</t>
  </si>
  <si>
    <t>0.1724</t>
  </si>
  <si>
    <t>76.66048687093367</t>
  </si>
  <si>
    <t>258.2583396770394</t>
  </si>
  <si>
    <t>-13.124060909643712</t>
  </si>
  <si>
    <t>211.1439257917423</t>
  </si>
  <si>
    <t>6.115694276040114</t>
  </si>
  <si>
    <t>0.15693286571428572</t>
  </si>
  <si>
    <t>0.17716</t>
  </si>
  <si>
    <t>0.16694985714285715</t>
  </si>
  <si>
    <t>0.16628</t>
  </si>
  <si>
    <t>73.0146776358197</t>
  </si>
  <si>
    <t>137.05897602401456</t>
  </si>
  <si>
    <t>13.491201082978028</t>
  </si>
  <si>
    <t>170.77469725288643</t>
  </si>
  <si>
    <t>4.012859581330571</t>
  </si>
  <si>
    <t>0.17570712</t>
  </si>
  <si>
    <t>0.19865</t>
  </si>
  <si>
    <t>0.190986</t>
  </si>
  <si>
    <t>0.18841</t>
  </si>
  <si>
    <t>70.17497314051002</t>
  </si>
  <si>
    <t>144.48655423459402</t>
  </si>
  <si>
    <t>-7.427578210579477</t>
  </si>
  <si>
    <t>203.25049884977523</t>
  </si>
  <si>
    <t>3.554396054431967</t>
  </si>
  <si>
    <t>0.16463347428571432</t>
  </si>
  <si>
    <t>0.18531</t>
  </si>
  <si>
    <t>0.1789494285714286</t>
  </si>
  <si>
    <t>0.17785</t>
  </si>
  <si>
    <t>71.49821595799706</t>
  </si>
  <si>
    <t>152.24757693435726</t>
  </si>
  <si>
    <t>-7.761022699763239</t>
  </si>
  <si>
    <t>148.6438530453747</t>
  </si>
  <si>
    <t>5.12122007789594</t>
  </si>
  <si>
    <t>0.16818336</t>
  </si>
  <si>
    <t>0.19217</t>
  </si>
  <si>
    <t>0.182808</t>
  </si>
  <si>
    <t>0.1814</t>
  </si>
  <si>
    <t>72.29309894256717</t>
  </si>
  <si>
    <t>70.22230013040067</t>
  </si>
  <si>
    <t>38.34730157002673</t>
  </si>
  <si>
    <t>485.4088806332498</t>
  </si>
  <si>
    <t>0.723331431831148</t>
  </si>
  <si>
    <t>1.1519714285714286</t>
  </si>
  <si>
    <t>1.2612</t>
  </si>
  <si>
    <t>1.2521428571428572</t>
  </si>
  <si>
    <t>1.2336</t>
  </si>
  <si>
    <t>70.3700942126388</t>
  </si>
  <si>
    <t>212.43232552750274</t>
  </si>
  <si>
    <t>45.82601414953664</t>
  </si>
  <si>
    <t>776.7121042294345</t>
  </si>
  <si>
    <t>1.3675100746514945</t>
  </si>
  <si>
    <t>0.16261462857142858</t>
  </si>
  <si>
    <t>0.17536</t>
  </si>
  <si>
    <t>0.17299428571428574</t>
  </si>
  <si>
    <t>0.17236</t>
  </si>
  <si>
    <t>73.50492123789013</t>
  </si>
  <si>
    <t>162.1528336731363</t>
  </si>
  <si>
    <t>-8.565259260824435</t>
  </si>
  <si>
    <t>457.6175771676201</t>
  </si>
  <si>
    <t>1.7717067892886202</t>
  </si>
  <si>
    <t>0.19013142857142856</t>
  </si>
  <si>
    <t>0.215</t>
  </si>
  <si>
    <t>0.21125714285714284</t>
  </si>
  <si>
    <t>0.21</t>
  </si>
  <si>
    <t>74.71755775078213</t>
  </si>
  <si>
    <t>212.4323255275027</t>
  </si>
  <si>
    <t>89.17274377519168</t>
  </si>
  <si>
    <t>123.25958175231104</t>
  </si>
  <si>
    <t>2089.1454534290006</t>
  </si>
  <si>
    <t>0.21341918445369318</t>
  </si>
  <si>
    <t>0.15925332285714286</t>
  </si>
  <si>
    <t>0.16978</t>
  </si>
  <si>
    <t>0.16941842857142858</t>
  </si>
  <si>
    <t>0.16871</t>
  </si>
  <si>
    <t>73.44078583777303</t>
  </si>
  <si>
    <t>137.35138352427222</t>
  </si>
  <si>
    <t>14.89619341008504</t>
  </si>
  <si>
    <t>188.55941025424102</t>
  </si>
  <si>
    <t>3.64212487032805</t>
  </si>
  <si>
    <t>0.14873797714285714</t>
  </si>
  <si>
    <t>0.16756</t>
  </si>
  <si>
    <t>0.16167171428571428</t>
  </si>
  <si>
    <t>0.15881</t>
  </si>
  <si>
    <t>78.08603443982048</t>
  </si>
  <si>
    <t>74.0833168158517</t>
  </si>
  <si>
    <t>-3.861016685451036</t>
  </si>
  <si>
    <t>156.850844658451</t>
  </si>
  <si>
    <t>2.3615848858567228</t>
  </si>
  <si>
    <t>1.051836</t>
  </si>
  <si>
    <t>1.1703</t>
  </si>
  <si>
    <t>1.1433</t>
  </si>
  <si>
    <t>1.1313</t>
  </si>
  <si>
    <t>72.8736503838665</t>
  </si>
  <si>
    <t>144.8884904179862</t>
  </si>
  <si>
    <t>-7.537106893713958</t>
  </si>
  <si>
    <t>292.68237281464803</t>
  </si>
  <si>
    <t>2.4751830632065808</t>
  </si>
  <si>
    <t>0.1372703085714286</t>
  </si>
  <si>
    <t>0.1529</t>
  </si>
  <si>
    <t>0.14920685714285717</t>
  </si>
  <si>
    <t>0.14788</t>
  </si>
  <si>
    <t>73.8833800394268</t>
  </si>
  <si>
    <t>152.72705014362782</t>
  </si>
  <si>
    <t>-7.838559725641635</t>
  </si>
  <si>
    <t>202.20721846024347</t>
  </si>
  <si>
    <t>3.7764984679232887</t>
  </si>
  <si>
    <t>0.13022100571428571</t>
  </si>
  <si>
    <t>0.14689</t>
  </si>
  <si>
    <t>0.1415445714285714</t>
  </si>
  <si>
    <t>0.14028</t>
  </si>
  <si>
    <t>71.39403726861819</t>
  </si>
  <si>
    <t>78.12145830128641</t>
  </si>
  <si>
    <t>-4.038141485434713</t>
  </si>
  <si>
    <t>132.06857037039168</t>
  </si>
  <si>
    <t>2.9576097508359336</t>
  </si>
  <si>
    <t>0.9138557142857143</t>
  </si>
  <si>
    <t>1.0227</t>
  </si>
  <si>
    <t>0.9933214285714286</t>
  </si>
  <si>
    <t>0.9794</t>
  </si>
  <si>
    <t>70.23771716865986</t>
  </si>
  <si>
    <t>89.17274377519166</t>
  </si>
  <si>
    <t>94.12104050212352</t>
  </si>
  <si>
    <t>-4.948296726931853</t>
  </si>
  <si>
    <t>242.24470182567725</t>
  </si>
  <si>
    <t>1.9426852226855795</t>
  </si>
  <si>
    <t>0.1508626142857143</t>
  </si>
  <si>
    <t>0.16361</t>
  </si>
  <si>
    <t>0.16049214285714286</t>
  </si>
  <si>
    <t>0.15989</t>
  </si>
  <si>
    <t>73.6645878972875</t>
  </si>
  <si>
    <t>171.11260791765537</t>
  </si>
  <si>
    <t>-8.959774244519052</t>
  </si>
  <si>
    <t>404.14384863628317</t>
  </si>
  <si>
    <t>2.11697652327317</t>
  </si>
  <si>
    <t>0.18948857142857142</t>
  </si>
  <si>
    <t>0.21054285714285714</t>
  </si>
  <si>
    <t>0.209</t>
  </si>
  <si>
    <t>73.29482593808305</t>
  </si>
  <si>
    <t>140.89048106425096</t>
  </si>
  <si>
    <t>11.836569079376858</t>
  </si>
  <si>
    <t>149.8299883465425</t>
  </si>
  <si>
    <t>4.701678302823621</t>
  </si>
  <si>
    <t>0.13843713142857145</t>
  </si>
  <si>
    <t>0.15755</t>
  </si>
  <si>
    <t>0.15047514285714286</t>
  </si>
  <si>
    <t>0.14923</t>
  </si>
  <si>
    <t>74.09846183139975</t>
  </si>
  <si>
    <t>82.34095666965013</t>
  </si>
  <si>
    <t>-4.21949836836371</t>
  </si>
  <si>
    <t>102.45053488120391</t>
  </si>
  <si>
    <t>4.018571341044156</t>
  </si>
  <si>
    <t>0.9652968571428572</t>
  </si>
  <si>
    <t>1.0914</t>
  </si>
  <si>
    <t>1.0492357142857143</t>
  </si>
  <si>
    <t>1.0304</t>
  </si>
  <si>
    <t>70.76128308444596</t>
  </si>
  <si>
    <t>137.5703186481785</t>
  </si>
  <si>
    <t>33.54228926947687</t>
  </si>
  <si>
    <t>338.8110027219886</t>
  </si>
  <si>
    <t>2.0301926080166566</t>
  </si>
  <si>
    <t>0.19758857142857145</t>
  </si>
  <si>
    <t>0.21954285714285715</t>
  </si>
  <si>
    <t>0.218</t>
  </si>
  <si>
    <t>74.01904487781688</t>
  </si>
  <si>
    <t>99.32246197492937</t>
  </si>
  <si>
    <t>-5.201421472805842</t>
  </si>
  <si>
    <t>235.29837405937369</t>
  </si>
  <si>
    <t>2.11056413738471</t>
  </si>
  <si>
    <t>0.15426004285714284</t>
  </si>
  <si>
    <t>0.16757</t>
  </si>
  <si>
    <t>0.16410642857142857</t>
  </si>
  <si>
    <t>0.16347</t>
  </si>
  <si>
    <t>72.19605689013109</t>
  </si>
  <si>
    <t>148.48545254970668</t>
  </si>
  <si>
    <t>-7.594971485455719</t>
  </si>
  <si>
    <t>170.69885797038523</t>
  </si>
  <si>
    <t>4.349339366273546</t>
  </si>
  <si>
    <t>0.13744984000000002</t>
  </si>
  <si>
    <t>0.1559</t>
  </si>
  <si>
    <t>0.149402</t>
  </si>
  <si>
    <t>0.14803</t>
  </si>
  <si>
    <t>76.37405345126297</t>
  </si>
  <si>
    <t>104.94556771010365</t>
  </si>
  <si>
    <t>-5.623105735174279</t>
  </si>
  <si>
    <t>375.82734966909555</t>
  </si>
  <si>
    <t>1.396193861390144</t>
  </si>
  <si>
    <t>0.15270474571428572</t>
  </si>
  <si>
    <t>0.16472</t>
  </si>
  <si>
    <t>0.16245185714285715</t>
  </si>
  <si>
    <t>0.16192</t>
  </si>
  <si>
    <t>73.50449260373712</t>
  </si>
  <si>
    <t>86.79180974415725</t>
  </si>
  <si>
    <t>-4.450853074507129</t>
  </si>
  <si>
    <t>111.2625872992658</t>
  </si>
  <si>
    <t>3.9003141959440115</t>
  </si>
  <si>
    <t>0.9202628571428572</t>
  </si>
  <si>
    <t>1.0393</t>
  </si>
  <si>
    <t>1.0002857142857142</t>
  </si>
  <si>
    <t>0.9806</t>
  </si>
  <si>
    <t>77.60793799773039</t>
  </si>
  <si>
    <t>91.43110497943924</t>
  </si>
  <si>
    <t>-4.639295235281995</t>
  </si>
  <si>
    <t>67.73998631003445</t>
  </si>
  <si>
    <t>6.748680503194564</t>
  </si>
  <si>
    <t>0.8279671428571429</t>
  </si>
  <si>
    <t>0.9607</t>
  </si>
  <si>
    <t>0.8999642857142858</t>
  </si>
  <si>
    <t>0.8818</t>
  </si>
  <si>
    <t>70.38832139466108</t>
  </si>
  <si>
    <t>81.6641104738398</t>
  </si>
  <si>
    <t>9.766994505599445</t>
  </si>
  <si>
    <t>123.63284184303096</t>
  </si>
  <si>
    <t>3.3026867803266913</t>
  </si>
  <si>
    <t>1.0306760000000001</t>
  </si>
  <si>
    <t>1.1573</t>
  </si>
  <si>
    <t>1.1203</t>
  </si>
  <si>
    <t>1.1004</t>
  </si>
  <si>
    <t>71.13027521208176</t>
  </si>
  <si>
    <t>129.89599701722315</t>
  </si>
  <si>
    <t>18.589455532483523</t>
  </si>
  <si>
    <t>235.30956370232306</t>
  </si>
  <si>
    <t>2.7601087472489496</t>
  </si>
  <si>
    <t>0.1522797142857143</t>
  </si>
  <si>
    <t>0.17009</t>
  </si>
  <si>
    <t>0.16552142857142857</t>
  </si>
  <si>
    <t>0.16353</t>
  </si>
  <si>
    <t>72.49748096917848</t>
  </si>
  <si>
    <t>74.57507402452788</t>
  </si>
  <si>
    <t>7.089036449311923</t>
  </si>
  <si>
    <t>89.7346385988851</t>
  </si>
  <si>
    <t>4.155311437642233</t>
  </si>
  <si>
    <t>1.1694842857142858</t>
  </si>
  <si>
    <t>1.324</t>
  </si>
  <si>
    <t>1.2711785714285715</t>
  </si>
  <si>
    <t>1.2432</t>
  </si>
  <si>
    <t>70.21034457287654</t>
  </si>
  <si>
    <t>104.95339331619537</t>
  </si>
  <si>
    <t>32.616925331983126</t>
  </si>
  <si>
    <t>329.46389224225373</t>
  </si>
  <si>
    <t>1.5927905270879197</t>
  </si>
  <si>
    <t>0.2453914285714286</t>
  </si>
  <si>
    <t>0.277</t>
  </si>
  <si>
    <t>0.2726571428571429</t>
  </si>
  <si>
    <t>0.271</t>
  </si>
  <si>
    <t>73.3515289308857</t>
  </si>
  <si>
    <t>78.62223706465197</t>
  </si>
  <si>
    <t>-4.04716304012409</t>
  </si>
  <si>
    <t>116.05118689149145</t>
  </si>
  <si>
    <t>3.387394785464979</t>
  </si>
  <si>
    <t>1.12033</t>
  </si>
  <si>
    <t>1.259</t>
  </si>
  <si>
    <t>1.21775</t>
  </si>
  <si>
    <t>1.203</t>
  </si>
  <si>
    <t>71.87087590161417</t>
  </si>
  <si>
    <t>98.35698297177161</t>
  </si>
  <si>
    <t>6.5885847383320355</t>
  </si>
  <si>
    <t>111.6709277683396</t>
  </si>
  <si>
    <t>4.40387596563236</t>
  </si>
  <si>
    <t>0.18589520571428572</t>
  </si>
  <si>
    <t>0.20647</t>
  </si>
  <si>
    <t>0.19776085714285715</t>
  </si>
  <si>
    <t>0.19683</t>
  </si>
  <si>
    <t>74.44917635943725</t>
  </si>
  <si>
    <t>82.89892443198299</t>
  </si>
  <si>
    <t>-4.276687367331017</t>
  </si>
  <si>
    <t>131.7411457318675</t>
  </si>
  <si>
    <t>3.1462806844228837</t>
  </si>
  <si>
    <t>1.1840465714285715</t>
  </si>
  <si>
    <t>1.3275</t>
  </si>
  <si>
    <t>1.2870071428571428</t>
  </si>
  <si>
    <t>1.2638</t>
  </si>
  <si>
    <t>72.3995138290374</t>
  </si>
  <si>
    <t>115.60568854057657</t>
  </si>
  <si>
    <t>14.290308476646581</t>
  </si>
  <si>
    <t>180.88998071704535</t>
  </si>
  <si>
    <t>3.195469646309797</t>
  </si>
  <si>
    <t>0.19685476571428576</t>
  </si>
  <si>
    <t>0.22081</t>
  </si>
  <si>
    <t>0.21397257142857146</t>
  </si>
  <si>
    <t>0.21138</t>
  </si>
  <si>
    <t>70.10826977811507</t>
  </si>
  <si>
    <t>106.71711589896935</t>
  </si>
  <si>
    <t>8.888572641607215</t>
  </si>
  <si>
    <t>112.51357774186349</t>
  </si>
  <si>
    <t>4.742410562385956</t>
  </si>
  <si>
    <t>0.19622233142857146</t>
  </si>
  <si>
    <t>0.2234</t>
  </si>
  <si>
    <t>0.21328514285714287</t>
  </si>
  <si>
    <t>0.21032</t>
  </si>
  <si>
    <t>71.46141169716601</t>
  </si>
  <si>
    <t>112.51561363454059</t>
  </si>
  <si>
    <t>-5.7984977355712335</t>
  </si>
  <si>
    <t>172.71705384420406</t>
  </si>
  <si>
    <t>3.257223624716093</t>
  </si>
  <si>
    <t>0.18690062857142858</t>
  </si>
  <si>
    <t>0.20977</t>
  </si>
  <si>
    <t>0.20315285714285714</t>
  </si>
  <si>
    <t>0.20113</t>
  </si>
  <si>
    <t>76.12845751810869</t>
  </si>
  <si>
    <t>104.10224815368707</t>
  </si>
  <si>
    <t>-5.745265181915455</t>
  </si>
  <si>
    <t>540.1527742311009</t>
  </si>
  <si>
    <t>0.9636370775089973</t>
  </si>
  <si>
    <t>0.1744281457142857</t>
  </si>
  <si>
    <t>0.18735</t>
  </si>
  <si>
    <t>0.18556185714285714</t>
  </si>
  <si>
    <t>0.18485</t>
  </si>
  <si>
    <t>76.68359572622887</t>
  </si>
  <si>
    <t>87.47285721721882</t>
  </si>
  <si>
    <t>-4.573932785235827</t>
  </si>
  <si>
    <t>200.28992437488589</t>
  </si>
  <si>
    <t>2.1836559549918864</t>
  </si>
  <si>
    <t>0.9648040000000002</t>
  </si>
  <si>
    <t>1.0716</t>
  </si>
  <si>
    <t>1.0487000000000002</t>
  </si>
  <si>
    <t>1.0373</t>
  </si>
  <si>
    <t>75.41475549332287</t>
  </si>
  <si>
    <t>118.58009681038956</t>
  </si>
  <si>
    <t>-6.064483175848981</t>
  </si>
  <si>
    <t>135.47833532950142</t>
  </si>
  <si>
    <t>4.376349049535741</t>
  </si>
  <si>
    <t>0.18279006857142857</t>
  </si>
  <si>
    <t>0.20738</t>
  </si>
  <si>
    <t>0.19868485714285714</t>
  </si>
  <si>
    <t>0.19743</t>
  </si>
  <si>
    <t>76.12808853803277</t>
  </si>
  <si>
    <t>110.0344422968856</t>
  </si>
  <si>
    <t>-5.932194143198523</t>
  </si>
  <si>
    <t>430.47202835424247</t>
  </si>
  <si>
    <t>1.2780672732391392</t>
  </si>
  <si>
    <t>0.1750560657142857</t>
  </si>
  <si>
    <t>0.18861</t>
  </si>
  <si>
    <t>0.18622985714285714</t>
  </si>
  <si>
    <t>0.18568</t>
  </si>
  <si>
    <t>73.67203933733386</t>
  </si>
  <si>
    <t>101.03337126737125</t>
  </si>
  <si>
    <t>17.54672554301832</t>
  </si>
  <si>
    <t>222.1104499116243</t>
  </si>
  <si>
    <t>2.2743948181540192</t>
  </si>
  <si>
    <t>0.19166517714285716</t>
  </si>
  <si>
    <t>0.21307</t>
  </si>
  <si>
    <t>0.2083317142857143</t>
  </si>
  <si>
    <t>0.20547</t>
  </si>
  <si>
    <t>70.52118443671075</t>
  </si>
  <si>
    <t>116.09900554675114</t>
  </si>
  <si>
    <t>-6.064563249865538</t>
  </si>
  <si>
    <t>259.61297252798056</t>
  </si>
  <si>
    <t>2.2360016222655865</t>
  </si>
  <si>
    <t>0.16952658285714284</t>
  </si>
  <si>
    <t>0.18438</t>
  </si>
  <si>
    <t>0.18034742857142858</t>
  </si>
  <si>
    <t>0.17948</t>
  </si>
  <si>
    <t>83.27710958282422</t>
  </si>
  <si>
    <t>101.03337126737124</t>
  </si>
  <si>
    <t>106.71700107460853</t>
  </si>
  <si>
    <t>-5.683629807237294</t>
  </si>
  <si>
    <t>347.7797535068669</t>
  </si>
  <si>
    <t>1.5342612673469134</t>
  </si>
  <si>
    <t>0.1774411885714286</t>
  </si>
  <si>
    <t>0.19583</t>
  </si>
  <si>
    <t>0.19287085714285715</t>
  </si>
  <si>
    <t>0.19148</t>
  </si>
  <si>
    <t>70.74841955123948</t>
  </si>
  <si>
    <t>100.0</t>
  </si>
  <si>
    <t>4.953393316195377</t>
  </si>
  <si>
    <t>50.03427592116542</t>
  </si>
  <si>
    <t>9.993149511902716</t>
  </si>
  <si>
    <t>0.3002914285714286</t>
  </si>
  <si>
    <t>0.367</t>
  </si>
  <si>
    <t>0.3336571428571429</t>
  </si>
  <si>
    <t>0.33</t>
  </si>
  <si>
    <t>75.1057672694171</t>
  </si>
  <si>
    <t>80.58463995763202</t>
  </si>
  <si>
    <t>6.888217259586795</t>
  </si>
  <si>
    <t>87.19262353907335</t>
  </si>
  <si>
    <t>4.62106980423177</t>
  </si>
  <si>
    <t>1.063414857142857</t>
  </si>
  <si>
    <t>1.2093</t>
  </si>
  <si>
    <t>1.1558857142857142</t>
  </si>
  <si>
    <t>1.1437</t>
  </si>
  <si>
    <t>71.50430484542267</t>
  </si>
  <si>
    <t>6.717001074608529</t>
  </si>
  <si>
    <t>85.02533005833581</t>
  </si>
  <si>
    <t>5.880600518186173</t>
  </si>
  <si>
    <t>0.20381864</t>
  </si>
  <si>
    <t>0.23457</t>
  </si>
  <si>
    <t>0.221542</t>
  </si>
  <si>
    <t>0.21821</t>
  </si>
  <si>
    <t>74.26070710041331</t>
  </si>
  <si>
    <t>16.099005546751144</t>
  </si>
  <si>
    <t>272.8645007923923</t>
  </si>
  <si>
    <t>1.8324113197136727</t>
  </si>
  <si>
    <t>0.18496782857142854</t>
  </si>
  <si>
    <t>0.20038</t>
  </si>
  <si>
    <t>0.1967742857142857</t>
  </si>
  <si>
    <t>0.19593</t>
  </si>
  <si>
    <t>75.36733150562597</t>
  </si>
  <si>
    <t>85.02983606817034</t>
  </si>
  <si>
    <t>-4.445196110538325</t>
  </si>
  <si>
    <t>193.70430712980848</t>
  </si>
  <si>
    <t>2.1948359674622173</t>
  </si>
  <si>
    <t>1.0760582857142855</t>
  </si>
  <si>
    <t>1.1953</t>
  </si>
  <si>
    <t>1.1696285714285712</t>
  </si>
  <si>
    <t>1.1562</t>
  </si>
  <si>
    <t>75.91217642795529</t>
  </si>
  <si>
    <t>89.78751313940344</t>
  </si>
  <si>
    <t>-4.757677071233102</t>
  </si>
  <si>
    <t>268.30141426292977</t>
  </si>
  <si>
    <t>1.6732582902342357</t>
  </si>
  <si>
    <t>1.0584140000000002</t>
  </si>
  <si>
    <t>1.1697</t>
  </si>
  <si>
    <t>1.1504500000000002</t>
  </si>
  <si>
    <t>1.1405</t>
  </si>
  <si>
    <t>70.99385779142231</t>
  </si>
  <si>
    <t>94.74764637777042</t>
  </si>
  <si>
    <t>-4.960133238366981</t>
  </si>
  <si>
    <t>222.75091947845976</t>
  </si>
  <si>
    <t>2.126762183509923</t>
  </si>
  <si>
    <t>1.0283102857142858</t>
  </si>
  <si>
    <t>1.1415</t>
  </si>
  <si>
    <t>1.1177285714285714</t>
  </si>
  <si>
    <t>1.1032</t>
  </si>
  <si>
    <t>72.32230197828522</t>
  </si>
  <si>
    <t>-5.252353622229573</t>
  </si>
  <si>
    <t>252.35362222957266</t>
  </si>
  <si>
    <t>1.981346634070253</t>
  </si>
  <si>
    <t>1.0026225714285715</t>
  </si>
  <si>
    <t>1.1114</t>
  </si>
  <si>
    <t>1.0898071428571428</t>
  </si>
  <si>
    <t>1.0811</t>
  </si>
  <si>
    <t>73.4610862056535</t>
  </si>
  <si>
    <t>month</t>
  </si>
  <si>
    <t>equity_after</t>
  </si>
  <si>
    <t>equity_before</t>
  </si>
  <si>
    <t>exit_reason</t>
  </si>
  <si>
    <t>pnl_dollar</t>
  </si>
  <si>
    <t>jkl</t>
  </si>
  <si>
    <t>ghi</t>
  </si>
  <si>
    <t>def</t>
  </si>
  <si>
    <t>abc</t>
  </si>
  <si>
    <t>pnl_pct</t>
  </si>
  <si>
    <t>position_size</t>
  </si>
  <si>
    <t>sl_dist_pct</t>
  </si>
  <si>
    <t>tp_price</t>
  </si>
  <si>
    <t>sl_price</t>
  </si>
  <si>
    <t>entry_price</t>
  </si>
  <si>
    <t>limit_price</t>
  </si>
  <si>
    <t>swing_high_sl</t>
  </si>
  <si>
    <t>swing_low</t>
  </si>
  <si>
    <t>rsi_at_signal</t>
  </si>
  <si>
    <t>exit_time</t>
  </si>
  <si>
    <t>entry_time</t>
  </si>
  <si>
    <t>signal_time</t>
  </si>
  <si>
    <t>coin</t>
  </si>
  <si>
    <t>trade_num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</si>
</sst>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4" fontId="0" fillId="0" borderId="1" xfId="0" applyNumberFormat="1" applyBorder="1"/>
    <xf numFmtId="0" fontId="0" fillId="0" borderId="2" xfId="0" applyBorder="1"/>
    <xf numFmtId="10" fontId="0" fillId="2" borderId="3" xfId="1" applyNumberFormat="1" applyFont="1" applyFill="1" applyBorder="1"/>
    <xf numFmtId="164" fontId="0" fillId="2" borderId="3" xfId="1" applyNumberFormat="1" applyFont="1" applyFill="1" applyBorder="1"/>
    <xf numFmtId="22" fontId="0" fillId="0" borderId="2" xfId="0" applyNumberFormat="1" applyBorder="1"/>
    <xf numFmtId="0" fontId="0" fillId="0" borderId="4" xfId="0" applyBorder="1"/>
    <xf numFmtId="14" fontId="0" fillId="2" borderId="5" xfId="0" applyNumberFormat="1" applyFill="1" applyBorder="1"/>
    <xf numFmtId="0" fontId="0" fillId="2" borderId="3" xfId="0" applyFill="1" applyBorder="1"/>
    <xf numFmtId="22" fontId="0" fillId="2" borderId="3" xfId="0" applyNumberFormat="1" applyFill="1" applyBorder="1"/>
    <xf numFmtId="0" fontId="0" fillId="2" borderId="6" xfId="0" applyFill="1" applyBorder="1"/>
    <xf numFmtId="14" fontId="0" fillId="0" borderId="5" xfId="0" applyNumberFormat="1" applyBorder="1"/>
    <xf numFmtId="0" fontId="0" fillId="0" borderId="3" xfId="0" applyBorder="1"/>
    <xf numFmtId="22" fontId="0" fillId="0" borderId="3" xfId="0" applyNumberFormat="1" applyBorder="1"/>
    <xf numFmtId="0" fontId="0" fillId="0" borderId="6" xfId="0" applyBorder="1"/>
    <xf numFmtId="0" fontId="2" fillId="3" borderId="5" xfId="0" applyFont="1" applyFill="1" applyBorder="1"/>
    <xf numFmtId="0" fontId="2" fillId="3" borderId="3" xfId="0" applyFont="1" applyFill="1" applyBorder="1"/>
    <xf numFmtId="164" fontId="2" fillId="3" borderId="3" xfId="0" applyNumberFormat="1" applyFont="1" applyFill="1" applyBorder="1"/>
    <xf numFmtId="0" fontId="2" fillId="3" borderId="6" xfId="0" applyFont="1" applyFill="1" applyBorder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303C-4BB1-43CD-BD56-78B64338A107}">
  <dimension ref="A1:AB289"/>
  <sheetViews>
    <sheetView tabSelected="1" topLeftCell="N1" workbookViewId="0">
      <selection activeCell="Q17" sqref="Q17"/>
    </sheetView>
  </sheetViews>
  <sheetFormatPr defaultRowHeight="14.4" x14ac:dyDescent="0.3"/>
  <cols>
    <col min="1" max="1" width="12.109375" bestFit="1" customWidth="1"/>
    <col min="2" max="2" width="10" bestFit="1" customWidth="1"/>
    <col min="3" max="5" width="15.109375" bestFit="1" customWidth="1"/>
    <col min="6" max="6" width="17.77734375" bestFit="1" customWidth="1"/>
    <col min="7" max="7" width="11.5546875" bestFit="1" customWidth="1"/>
    <col min="8" max="8" width="14.33203125" bestFit="1" customWidth="1"/>
    <col min="9" max="10" width="19.77734375" bestFit="1" customWidth="1"/>
    <col min="11" max="11" width="9.77734375" bestFit="1" customWidth="1"/>
    <col min="12" max="13" width="19.77734375" bestFit="1" customWidth="1"/>
    <col min="14" max="14" width="18.77734375" bestFit="1" customWidth="1"/>
    <col min="15" max="15" width="20.44140625" bestFit="1" customWidth="1"/>
    <col min="16" max="16" width="20.44140625" customWidth="1"/>
    <col min="17" max="17" width="22.5546875" style="1" customWidth="1"/>
    <col min="18" max="20" width="20.44140625" style="1" customWidth="1"/>
    <col min="21" max="23" width="20.44140625" customWidth="1"/>
    <col min="24" max="24" width="19.44140625" bestFit="1" customWidth="1"/>
    <col min="25" max="25" width="12.6640625" bestFit="1" customWidth="1"/>
    <col min="26" max="27" width="18.77734375" bestFit="1" customWidth="1"/>
    <col min="28" max="28" width="10.109375" bestFit="1" customWidth="1"/>
  </cols>
  <sheetData>
    <row r="1" spans="1:28" x14ac:dyDescent="0.3">
      <c r="A1" s="19" t="s">
        <v>2629</v>
      </c>
      <c r="B1" s="17" t="s">
        <v>2628</v>
      </c>
      <c r="C1" s="17" t="s">
        <v>2627</v>
      </c>
      <c r="D1" s="17" t="s">
        <v>2626</v>
      </c>
      <c r="E1" s="17" t="s">
        <v>2625</v>
      </c>
      <c r="F1" s="17" t="s">
        <v>2624</v>
      </c>
      <c r="G1" s="17" t="s">
        <v>2623</v>
      </c>
      <c r="H1" s="17" t="s">
        <v>2622</v>
      </c>
      <c r="I1" s="17" t="s">
        <v>2621</v>
      </c>
      <c r="J1" s="17" t="s">
        <v>2620</v>
      </c>
      <c r="K1" s="17" t="s">
        <v>2619</v>
      </c>
      <c r="L1" s="17" t="s">
        <v>2618</v>
      </c>
      <c r="M1" s="17" t="s">
        <v>2617</v>
      </c>
      <c r="N1" s="17" t="s">
        <v>2616</v>
      </c>
      <c r="O1" s="17" t="s">
        <v>2615</v>
      </c>
      <c r="P1" s="17" t="s">
        <v>2614</v>
      </c>
      <c r="Q1" s="18" t="s">
        <v>2613</v>
      </c>
      <c r="R1" s="18" t="s">
        <v>2612</v>
      </c>
      <c r="S1" s="18" t="s">
        <v>2611</v>
      </c>
      <c r="T1" s="17">
        <v>1.5</v>
      </c>
      <c r="U1" s="17"/>
      <c r="V1" s="17"/>
      <c r="W1" s="17"/>
      <c r="X1" s="17" t="s">
        <v>2610</v>
      </c>
      <c r="Y1" s="17" t="s">
        <v>2609</v>
      </c>
      <c r="Z1" s="17" t="s">
        <v>2608</v>
      </c>
      <c r="AA1" s="17" t="s">
        <v>2607</v>
      </c>
      <c r="AB1" s="16" t="s">
        <v>2606</v>
      </c>
    </row>
    <row r="2" spans="1:28" x14ac:dyDescent="0.3">
      <c r="A2" s="11">
        <v>1</v>
      </c>
      <c r="B2" s="9" t="s">
        <v>42</v>
      </c>
      <c r="C2" s="10">
        <v>45809.229166666664</v>
      </c>
      <c r="D2" s="10">
        <v>45809.28125</v>
      </c>
      <c r="E2" s="10">
        <v>45809.604166666664</v>
      </c>
      <c r="F2" s="9" t="s">
        <v>2605</v>
      </c>
      <c r="G2" s="9" t="s">
        <v>2604</v>
      </c>
      <c r="H2" s="9" t="s">
        <v>2602</v>
      </c>
      <c r="I2" s="9" t="s">
        <v>2603</v>
      </c>
      <c r="J2" s="9" t="s">
        <v>2603</v>
      </c>
      <c r="K2" s="9" t="s">
        <v>2602</v>
      </c>
      <c r="L2" s="9" t="s">
        <v>2601</v>
      </c>
      <c r="M2" s="9" t="s">
        <v>2600</v>
      </c>
      <c r="N2" s="9" t="s">
        <v>2599</v>
      </c>
      <c r="O2" s="9">
        <v>-1.9813466340702499</v>
      </c>
      <c r="P2" s="4">
        <f>O2/100</f>
        <v>-1.9813466340702499E-2</v>
      </c>
      <c r="Q2" s="5">
        <v>100</v>
      </c>
      <c r="R2" s="5">
        <f>Q2*P2*$T$1</f>
        <v>-2.9720199511053749</v>
      </c>
      <c r="S2" s="5">
        <f>R2+Q2</f>
        <v>97.027980048894619</v>
      </c>
      <c r="T2" s="5"/>
      <c r="U2" s="4"/>
      <c r="V2" s="9"/>
      <c r="W2" s="9"/>
      <c r="X2" s="9" t="s">
        <v>2598</v>
      </c>
      <c r="Y2" s="9" t="s">
        <v>63</v>
      </c>
      <c r="Z2" s="9" t="s">
        <v>2537</v>
      </c>
      <c r="AA2" s="9" t="s">
        <v>2589</v>
      </c>
      <c r="AB2" s="8">
        <v>45809</v>
      </c>
    </row>
    <row r="3" spans="1:28" x14ac:dyDescent="0.3">
      <c r="A3" s="15">
        <v>2</v>
      </c>
      <c r="B3" s="13" t="s">
        <v>42</v>
      </c>
      <c r="C3" s="14">
        <v>45809.6875</v>
      </c>
      <c r="D3" s="14">
        <v>45809.78125</v>
      </c>
      <c r="E3" s="14">
        <v>45809.854166666664</v>
      </c>
      <c r="F3" s="13" t="s">
        <v>2597</v>
      </c>
      <c r="G3" s="13" t="s">
        <v>2596</v>
      </c>
      <c r="H3" s="13" t="s">
        <v>2594</v>
      </c>
      <c r="I3" s="13" t="s">
        <v>2595</v>
      </c>
      <c r="J3" s="13" t="s">
        <v>2595</v>
      </c>
      <c r="K3" s="13" t="s">
        <v>2594</v>
      </c>
      <c r="L3" s="13" t="s">
        <v>2593</v>
      </c>
      <c r="M3" s="13" t="s">
        <v>2592</v>
      </c>
      <c r="N3" s="13" t="s">
        <v>2591</v>
      </c>
      <c r="O3" s="13">
        <v>-2.12676218350992</v>
      </c>
      <c r="P3" s="4">
        <f>O3/100</f>
        <v>-2.1267621835099199E-2</v>
      </c>
      <c r="Q3" s="5">
        <f>S2</f>
        <v>97.027980048894619</v>
      </c>
      <c r="R3" s="5">
        <f>Q3*P3*$T$1</f>
        <v>-3.0953315806551611</v>
      </c>
      <c r="S3" s="5">
        <f>R3+Q3</f>
        <v>93.932648468239464</v>
      </c>
      <c r="T3" s="5"/>
      <c r="U3" s="4"/>
      <c r="V3" s="13"/>
      <c r="W3" s="13"/>
      <c r="X3" s="13" t="s">
        <v>2590</v>
      </c>
      <c r="Y3" s="13" t="s">
        <v>63</v>
      </c>
      <c r="Z3" s="13" t="s">
        <v>2589</v>
      </c>
      <c r="AA3" s="13" t="s">
        <v>2580</v>
      </c>
      <c r="AB3" s="12">
        <v>45809</v>
      </c>
    </row>
    <row r="4" spans="1:28" x14ac:dyDescent="0.3">
      <c r="A4" s="11">
        <v>3</v>
      </c>
      <c r="B4" s="9" t="s">
        <v>42</v>
      </c>
      <c r="C4" s="10">
        <v>45809.916666666664</v>
      </c>
      <c r="D4" s="10">
        <v>45810.041666666664</v>
      </c>
      <c r="E4" s="10">
        <v>45811.020833333336</v>
      </c>
      <c r="F4" s="9" t="s">
        <v>2588</v>
      </c>
      <c r="G4" s="9" t="s">
        <v>2587</v>
      </c>
      <c r="H4" s="9" t="s">
        <v>2585</v>
      </c>
      <c r="I4" s="9" t="s">
        <v>2586</v>
      </c>
      <c r="J4" s="9" t="s">
        <v>2586</v>
      </c>
      <c r="K4" s="9" t="s">
        <v>2585</v>
      </c>
      <c r="L4" s="9" t="s">
        <v>2584</v>
      </c>
      <c r="M4" s="9" t="s">
        <v>2583</v>
      </c>
      <c r="N4" s="9" t="s">
        <v>2582</v>
      </c>
      <c r="O4" s="9">
        <v>-1.6732582902342299</v>
      </c>
      <c r="P4" s="4">
        <f>O4/100</f>
        <v>-1.6732582902342297E-2</v>
      </c>
      <c r="Q4" s="5">
        <f>S3</f>
        <v>93.932648468239464</v>
      </c>
      <c r="R4" s="5">
        <f>Q4*P4*$T$1</f>
        <v>-2.3576037415970896</v>
      </c>
      <c r="S4" s="5">
        <f>R4+Q4</f>
        <v>91.575044726642375</v>
      </c>
      <c r="T4" s="5"/>
      <c r="U4" s="4"/>
      <c r="V4" s="9"/>
      <c r="W4" s="9"/>
      <c r="X4" s="9" t="s">
        <v>2581</v>
      </c>
      <c r="Y4" s="9" t="s">
        <v>63</v>
      </c>
      <c r="Z4" s="9" t="s">
        <v>2580</v>
      </c>
      <c r="AA4" s="9" t="s">
        <v>2571</v>
      </c>
      <c r="AB4" s="8">
        <v>45809</v>
      </c>
    </row>
    <row r="5" spans="1:28" x14ac:dyDescent="0.3">
      <c r="A5" s="15">
        <v>4</v>
      </c>
      <c r="B5" s="13" t="s">
        <v>42</v>
      </c>
      <c r="C5" s="14">
        <v>45811.072916666664</v>
      </c>
      <c r="D5" s="14">
        <v>45811.125</v>
      </c>
      <c r="E5" s="14">
        <v>45811.614583333336</v>
      </c>
      <c r="F5" s="13" t="s">
        <v>2579</v>
      </c>
      <c r="G5" s="13" t="s">
        <v>2578</v>
      </c>
      <c r="H5" s="13" t="s">
        <v>2576</v>
      </c>
      <c r="I5" s="13" t="s">
        <v>2577</v>
      </c>
      <c r="J5" s="13" t="s">
        <v>2577</v>
      </c>
      <c r="K5" s="13" t="s">
        <v>2576</v>
      </c>
      <c r="L5" s="13" t="s">
        <v>2575</v>
      </c>
      <c r="M5" s="13" t="s">
        <v>2574</v>
      </c>
      <c r="N5" s="13" t="s">
        <v>2573</v>
      </c>
      <c r="O5" s="13">
        <v>-2.1948359674622102</v>
      </c>
      <c r="P5" s="4">
        <f>O5/100</f>
        <v>-2.1948359674622102E-2</v>
      </c>
      <c r="Q5" s="5">
        <f>S4</f>
        <v>91.575044726642375</v>
      </c>
      <c r="R5" s="5">
        <f>Q5*P5*$T$1</f>
        <v>-3.0148830283199288</v>
      </c>
      <c r="S5" s="5">
        <f>R5+Q5</f>
        <v>88.560161698322446</v>
      </c>
      <c r="T5" s="5"/>
      <c r="U5" s="4"/>
      <c r="V5" s="13"/>
      <c r="W5" s="13"/>
      <c r="X5" s="13" t="s">
        <v>2572</v>
      </c>
      <c r="Y5" s="13" t="s">
        <v>63</v>
      </c>
      <c r="Z5" s="13" t="s">
        <v>2571</v>
      </c>
      <c r="AA5" s="13" t="s">
        <v>2546</v>
      </c>
      <c r="AB5" s="12">
        <v>45809</v>
      </c>
    </row>
    <row r="6" spans="1:28" x14ac:dyDescent="0.3">
      <c r="A6" s="11">
        <v>5</v>
      </c>
      <c r="B6" s="9" t="s">
        <v>11</v>
      </c>
      <c r="C6" s="10">
        <v>45811.072916666664</v>
      </c>
      <c r="D6" s="10">
        <v>45811.125</v>
      </c>
      <c r="E6" s="10">
        <v>45813.677083333336</v>
      </c>
      <c r="F6" s="9" t="s">
        <v>2570</v>
      </c>
      <c r="G6" s="9" t="s">
        <v>2569</v>
      </c>
      <c r="H6" s="9" t="s">
        <v>2567</v>
      </c>
      <c r="I6" s="9" t="s">
        <v>2568</v>
      </c>
      <c r="J6" s="9" t="s">
        <v>2568</v>
      </c>
      <c r="K6" s="9" t="s">
        <v>2567</v>
      </c>
      <c r="L6" s="9" t="s">
        <v>2566</v>
      </c>
      <c r="M6" s="9" t="s">
        <v>2565</v>
      </c>
      <c r="N6" s="9" t="s">
        <v>2564</v>
      </c>
      <c r="O6" s="9">
        <v>6</v>
      </c>
      <c r="P6" s="4">
        <f>O6/100</f>
        <v>0.06</v>
      </c>
      <c r="Q6" s="5">
        <f>S5</f>
        <v>88.560161698322446</v>
      </c>
      <c r="R6" s="5">
        <f>Q6*P6*$T$1</f>
        <v>7.9704145528490198</v>
      </c>
      <c r="S6" s="5">
        <f>R6+Q6</f>
        <v>96.530576251171468</v>
      </c>
      <c r="T6" s="5"/>
      <c r="U6" s="4"/>
      <c r="V6" s="9"/>
      <c r="W6" s="9"/>
      <c r="X6" s="9" t="s">
        <v>2563</v>
      </c>
      <c r="Y6" s="9" t="s">
        <v>2</v>
      </c>
      <c r="Z6" s="9" t="s">
        <v>2537</v>
      </c>
      <c r="AA6" s="9" t="s">
        <v>2518</v>
      </c>
      <c r="AB6" s="8">
        <v>45809</v>
      </c>
    </row>
    <row r="7" spans="1:28" x14ac:dyDescent="0.3">
      <c r="A7" s="15">
        <v>6</v>
      </c>
      <c r="B7" s="13" t="s">
        <v>22</v>
      </c>
      <c r="C7" s="14">
        <v>45811.552083333336</v>
      </c>
      <c r="D7" s="14">
        <v>45811.583333333336</v>
      </c>
      <c r="E7" s="14">
        <v>45812.020833333336</v>
      </c>
      <c r="F7" s="13" t="s">
        <v>2562</v>
      </c>
      <c r="G7" s="13" t="s">
        <v>2561</v>
      </c>
      <c r="H7" s="13" t="s">
        <v>2559</v>
      </c>
      <c r="I7" s="13" t="s">
        <v>2560</v>
      </c>
      <c r="J7" s="13" t="s">
        <v>2560</v>
      </c>
      <c r="K7" s="13" t="s">
        <v>2559</v>
      </c>
      <c r="L7" s="13" t="s">
        <v>2558</v>
      </c>
      <c r="M7" s="13" t="s">
        <v>2557</v>
      </c>
      <c r="N7" s="13" t="s">
        <v>2556</v>
      </c>
      <c r="O7" s="13">
        <v>8</v>
      </c>
      <c r="P7" s="4">
        <f>O7/100</f>
        <v>0.08</v>
      </c>
      <c r="Q7" s="5">
        <f>S6</f>
        <v>96.530576251171468</v>
      </c>
      <c r="R7" s="5">
        <f>Q7*P7*$T$1</f>
        <v>11.583669150140576</v>
      </c>
      <c r="S7" s="5">
        <f>R7+Q7</f>
        <v>108.11424540131205</v>
      </c>
      <c r="T7" s="5"/>
      <c r="U7" s="4"/>
      <c r="V7" s="13"/>
      <c r="W7" s="13"/>
      <c r="X7" s="13" t="s">
        <v>2555</v>
      </c>
      <c r="Y7" s="13" t="s">
        <v>2</v>
      </c>
      <c r="Z7" s="13" t="s">
        <v>2537</v>
      </c>
      <c r="AA7" s="13" t="s">
        <v>2528</v>
      </c>
      <c r="AB7" s="12">
        <v>45809</v>
      </c>
    </row>
    <row r="8" spans="1:28" x14ac:dyDescent="0.3">
      <c r="A8" s="11">
        <v>7</v>
      </c>
      <c r="B8" s="9" t="s">
        <v>42</v>
      </c>
      <c r="C8" s="10">
        <v>45811.614583333336</v>
      </c>
      <c r="D8" s="10">
        <v>45811.833333333336</v>
      </c>
      <c r="E8" s="10">
        <v>45811.854166666664</v>
      </c>
      <c r="F8" s="9" t="s">
        <v>2554</v>
      </c>
      <c r="G8" s="9" t="s">
        <v>2553</v>
      </c>
      <c r="H8" s="9" t="s">
        <v>2551</v>
      </c>
      <c r="I8" s="9" t="s">
        <v>2552</v>
      </c>
      <c r="J8" s="9" t="s">
        <v>2552</v>
      </c>
      <c r="K8" s="9" t="s">
        <v>2551</v>
      </c>
      <c r="L8" s="9" t="s">
        <v>2550</v>
      </c>
      <c r="M8" s="9" t="s">
        <v>2549</v>
      </c>
      <c r="N8" s="9" t="s">
        <v>2548</v>
      </c>
      <c r="O8" s="9">
        <v>8</v>
      </c>
      <c r="P8" s="4">
        <f>O8/100</f>
        <v>0.08</v>
      </c>
      <c r="Q8" s="5">
        <f>S7</f>
        <v>108.11424540131205</v>
      </c>
      <c r="R8" s="5">
        <f>Q8*P8*$T$1</f>
        <v>12.973709448157447</v>
      </c>
      <c r="S8" s="5">
        <f>R8+Q8</f>
        <v>121.0879548494695</v>
      </c>
      <c r="T8" s="5"/>
      <c r="U8" s="4"/>
      <c r="V8" s="9"/>
      <c r="W8" s="9"/>
      <c r="X8" s="9" t="s">
        <v>2547</v>
      </c>
      <c r="Y8" s="9" t="s">
        <v>2</v>
      </c>
      <c r="Z8" s="9" t="s">
        <v>2546</v>
      </c>
      <c r="AA8" s="9" t="s">
        <v>2482</v>
      </c>
      <c r="AB8" s="8">
        <v>45809</v>
      </c>
    </row>
    <row r="9" spans="1:28" x14ac:dyDescent="0.3">
      <c r="A9" s="15">
        <v>8</v>
      </c>
      <c r="B9" s="13" t="s">
        <v>108</v>
      </c>
      <c r="C9" s="14">
        <v>45811.791666666664</v>
      </c>
      <c r="D9" s="14">
        <v>45812.84375</v>
      </c>
      <c r="E9" s="14">
        <v>45813.802083333336</v>
      </c>
      <c r="F9" s="13" t="s">
        <v>2545</v>
      </c>
      <c r="G9" s="13" t="s">
        <v>2544</v>
      </c>
      <c r="H9" s="13" t="s">
        <v>2542</v>
      </c>
      <c r="I9" s="13" t="s">
        <v>2543</v>
      </c>
      <c r="J9" s="13" t="s">
        <v>2543</v>
      </c>
      <c r="K9" s="13" t="s">
        <v>2542</v>
      </c>
      <c r="L9" s="13" t="s">
        <v>2541</v>
      </c>
      <c r="M9" s="13" t="s">
        <v>2540</v>
      </c>
      <c r="N9" s="13" t="s">
        <v>2539</v>
      </c>
      <c r="O9" s="13">
        <v>10</v>
      </c>
      <c r="P9" s="4">
        <f>O9/100</f>
        <v>0.1</v>
      </c>
      <c r="Q9" s="5">
        <f>S8</f>
        <v>121.0879548494695</v>
      </c>
      <c r="R9" s="5">
        <f>Q9*P9*$T$1</f>
        <v>18.163193227420425</v>
      </c>
      <c r="S9" s="5">
        <f>R9+Q9</f>
        <v>139.25114807688993</v>
      </c>
      <c r="T9" s="5"/>
      <c r="U9" s="4"/>
      <c r="V9" s="13"/>
      <c r="W9" s="13"/>
      <c r="X9" s="13" t="s">
        <v>2538</v>
      </c>
      <c r="Y9" s="13" t="s">
        <v>2</v>
      </c>
      <c r="Z9" s="13" t="s">
        <v>2537</v>
      </c>
      <c r="AA9" s="13" t="s">
        <v>2410</v>
      </c>
      <c r="AB9" s="12">
        <v>45809</v>
      </c>
    </row>
    <row r="10" spans="1:28" x14ac:dyDescent="0.3">
      <c r="A10" s="11">
        <v>9</v>
      </c>
      <c r="B10" s="9" t="s">
        <v>22</v>
      </c>
      <c r="C10" s="10">
        <v>45814.364583333336</v>
      </c>
      <c r="D10" s="10">
        <v>45814.520833333336</v>
      </c>
      <c r="E10" s="10">
        <v>45814.635416666664</v>
      </c>
      <c r="F10" s="9" t="s">
        <v>2536</v>
      </c>
      <c r="G10" s="9" t="s">
        <v>2535</v>
      </c>
      <c r="H10" s="9" t="s">
        <v>2533</v>
      </c>
      <c r="I10" s="9" t="s">
        <v>2534</v>
      </c>
      <c r="J10" s="9" t="s">
        <v>2534</v>
      </c>
      <c r="K10" s="9" t="s">
        <v>2533</v>
      </c>
      <c r="L10" s="9" t="s">
        <v>2532</v>
      </c>
      <c r="M10" s="9" t="s">
        <v>2531</v>
      </c>
      <c r="N10" s="9" t="s">
        <v>2530</v>
      </c>
      <c r="O10" s="9">
        <v>-1.53426126734691</v>
      </c>
      <c r="P10" s="4">
        <f>O10/100</f>
        <v>-1.53426126734691E-2</v>
      </c>
      <c r="Q10" s="5">
        <f>S9</f>
        <v>139.25114807688993</v>
      </c>
      <c r="R10" s="5">
        <f>Q10*P10*$T$1</f>
        <v>-3.2047146439194205</v>
      </c>
      <c r="S10" s="5">
        <f>R10+Q10</f>
        <v>136.0464334329705</v>
      </c>
      <c r="T10" s="5"/>
      <c r="U10" s="4"/>
      <c r="V10" s="9"/>
      <c r="W10" s="9"/>
      <c r="X10" s="9" t="s">
        <v>2529</v>
      </c>
      <c r="Y10" s="9" t="s">
        <v>63</v>
      </c>
      <c r="Z10" s="9" t="s">
        <v>2528</v>
      </c>
      <c r="AA10" s="9" t="s">
        <v>2527</v>
      </c>
      <c r="AB10" s="8">
        <v>45809</v>
      </c>
    </row>
    <row r="11" spans="1:28" x14ac:dyDescent="0.3">
      <c r="A11" s="15">
        <v>10</v>
      </c>
      <c r="B11" s="13" t="s">
        <v>11</v>
      </c>
      <c r="C11" s="14">
        <v>45814.625</v>
      </c>
      <c r="D11" s="14">
        <v>45814.708333333336</v>
      </c>
      <c r="E11" s="14">
        <v>45815.28125</v>
      </c>
      <c r="F11" s="13" t="s">
        <v>2526</v>
      </c>
      <c r="G11" s="13" t="s">
        <v>2525</v>
      </c>
      <c r="H11" s="13" t="s">
        <v>2523</v>
      </c>
      <c r="I11" s="13" t="s">
        <v>2524</v>
      </c>
      <c r="J11" s="13" t="s">
        <v>2524</v>
      </c>
      <c r="K11" s="13" t="s">
        <v>2523</v>
      </c>
      <c r="L11" s="13" t="s">
        <v>2522</v>
      </c>
      <c r="M11" s="13" t="s">
        <v>2521</v>
      </c>
      <c r="N11" s="13" t="s">
        <v>2520</v>
      </c>
      <c r="O11" s="13">
        <v>-2.2360016222655799</v>
      </c>
      <c r="P11" s="4">
        <f>O11/100</f>
        <v>-2.23600162226558E-2</v>
      </c>
      <c r="Q11" s="5">
        <f>S10</f>
        <v>136.0464334329705</v>
      </c>
      <c r="R11" s="5">
        <f>Q11*P11*$T$1</f>
        <v>-4.5630006878935241</v>
      </c>
      <c r="S11" s="5">
        <f>R11+Q11</f>
        <v>131.48343274507698</v>
      </c>
      <c r="T11" s="5"/>
      <c r="U11" s="4"/>
      <c r="V11" s="13"/>
      <c r="W11" s="13"/>
      <c r="X11" s="13" t="s">
        <v>2519</v>
      </c>
      <c r="Y11" s="13" t="s">
        <v>63</v>
      </c>
      <c r="Z11" s="13" t="s">
        <v>2518</v>
      </c>
      <c r="AA11" s="13" t="s">
        <v>2500</v>
      </c>
      <c r="AB11" s="12">
        <v>45809</v>
      </c>
    </row>
    <row r="12" spans="1:28" x14ac:dyDescent="0.3">
      <c r="A12" s="11">
        <v>11</v>
      </c>
      <c r="B12" s="9" t="s">
        <v>22</v>
      </c>
      <c r="C12" s="10">
        <v>45815.28125</v>
      </c>
      <c r="D12" s="10">
        <v>45815.354166666664</v>
      </c>
      <c r="E12" s="10">
        <v>45815.395833333336</v>
      </c>
      <c r="F12" s="9" t="s">
        <v>2517</v>
      </c>
      <c r="G12" s="9" t="s">
        <v>2516</v>
      </c>
      <c r="H12" s="9" t="s">
        <v>2514</v>
      </c>
      <c r="I12" s="9" t="s">
        <v>2515</v>
      </c>
      <c r="J12" s="9" t="s">
        <v>2515</v>
      </c>
      <c r="K12" s="9" t="s">
        <v>2514</v>
      </c>
      <c r="L12" s="9" t="s">
        <v>2513</v>
      </c>
      <c r="M12" s="9" t="s">
        <v>2512</v>
      </c>
      <c r="N12" s="9" t="s">
        <v>2511</v>
      </c>
      <c r="O12" s="9">
        <v>8</v>
      </c>
      <c r="P12" s="4">
        <f>O12/100</f>
        <v>0.08</v>
      </c>
      <c r="Q12" s="5">
        <f>S11</f>
        <v>131.48343274507698</v>
      </c>
      <c r="R12" s="5">
        <f>Q12*P12*$T$1</f>
        <v>15.778011929409239</v>
      </c>
      <c r="S12" s="5">
        <f>R12+Q12</f>
        <v>147.26144467448623</v>
      </c>
      <c r="T12" s="5"/>
      <c r="U12" s="4"/>
      <c r="V12" s="9"/>
      <c r="W12" s="9"/>
      <c r="X12" s="9" t="s">
        <v>2510</v>
      </c>
      <c r="Y12" s="9" t="s">
        <v>2</v>
      </c>
      <c r="Z12" s="9" t="s">
        <v>2509</v>
      </c>
      <c r="AA12" s="9" t="s">
        <v>2491</v>
      </c>
      <c r="AB12" s="8">
        <v>45809</v>
      </c>
    </row>
    <row r="13" spans="1:28" x14ac:dyDescent="0.3">
      <c r="A13" s="15">
        <v>12</v>
      </c>
      <c r="B13" s="13" t="s">
        <v>11</v>
      </c>
      <c r="C13" s="14">
        <v>45815.5625</v>
      </c>
      <c r="D13" s="14">
        <v>45815.677083333336</v>
      </c>
      <c r="E13" s="14">
        <v>45817.875</v>
      </c>
      <c r="F13" s="13" t="s">
        <v>2508</v>
      </c>
      <c r="G13" s="13" t="s">
        <v>2507</v>
      </c>
      <c r="H13" s="13" t="s">
        <v>2505</v>
      </c>
      <c r="I13" s="13" t="s">
        <v>2506</v>
      </c>
      <c r="J13" s="13" t="s">
        <v>2506</v>
      </c>
      <c r="K13" s="13" t="s">
        <v>2505</v>
      </c>
      <c r="L13" s="13" t="s">
        <v>2504</v>
      </c>
      <c r="M13" s="13" t="s">
        <v>2503</v>
      </c>
      <c r="N13" s="13" t="s">
        <v>2502</v>
      </c>
      <c r="O13" s="13">
        <v>-1.2780672732391301</v>
      </c>
      <c r="P13" s="4">
        <f>O13/100</f>
        <v>-1.27806727323913E-2</v>
      </c>
      <c r="Q13" s="5">
        <f>S12</f>
        <v>147.26144467448623</v>
      </c>
      <c r="R13" s="5">
        <f>Q13*P13*$T$1</f>
        <v>-2.8231504957256344</v>
      </c>
      <c r="S13" s="5">
        <f>R13+Q13</f>
        <v>144.4382941787606</v>
      </c>
      <c r="T13" s="5"/>
      <c r="U13" s="4"/>
      <c r="V13" s="13"/>
      <c r="W13" s="13"/>
      <c r="X13" s="13" t="s">
        <v>2501</v>
      </c>
      <c r="Y13" s="13" t="s">
        <v>63</v>
      </c>
      <c r="Z13" s="13" t="s">
        <v>2500</v>
      </c>
      <c r="AA13" s="13" t="s">
        <v>2473</v>
      </c>
      <c r="AB13" s="12">
        <v>45809</v>
      </c>
    </row>
    <row r="14" spans="1:28" x14ac:dyDescent="0.3">
      <c r="A14" s="11">
        <v>13</v>
      </c>
      <c r="B14" s="9" t="s">
        <v>22</v>
      </c>
      <c r="C14" s="10">
        <v>45815.947916666664</v>
      </c>
      <c r="D14" s="10">
        <v>45816.322916666664</v>
      </c>
      <c r="E14" s="10">
        <v>45817.4375</v>
      </c>
      <c r="F14" s="9" t="s">
        <v>2499</v>
      </c>
      <c r="G14" s="9" t="s">
        <v>2498</v>
      </c>
      <c r="H14" s="9" t="s">
        <v>2496</v>
      </c>
      <c r="I14" s="9" t="s">
        <v>2497</v>
      </c>
      <c r="J14" s="9" t="s">
        <v>2497</v>
      </c>
      <c r="K14" s="9" t="s">
        <v>2496</v>
      </c>
      <c r="L14" s="9" t="s">
        <v>2495</v>
      </c>
      <c r="M14" s="9" t="s">
        <v>2494</v>
      </c>
      <c r="N14" s="9" t="s">
        <v>2493</v>
      </c>
      <c r="O14" s="9">
        <v>-4.3763490495357402</v>
      </c>
      <c r="P14" s="4">
        <f>O14/100</f>
        <v>-4.3763490495357403E-2</v>
      </c>
      <c r="Q14" s="5">
        <f>S13</f>
        <v>144.4382941787606</v>
      </c>
      <c r="R14" s="5">
        <f>Q14*P14*$T$1</f>
        <v>-9.4816858716867394</v>
      </c>
      <c r="S14" s="5">
        <f>R14+Q14</f>
        <v>134.95660830707385</v>
      </c>
      <c r="T14" s="5"/>
      <c r="U14" s="4"/>
      <c r="V14" s="9"/>
      <c r="W14" s="9"/>
      <c r="X14" s="9" t="s">
        <v>2492</v>
      </c>
      <c r="Y14" s="9" t="s">
        <v>63</v>
      </c>
      <c r="Z14" s="9" t="s">
        <v>2491</v>
      </c>
      <c r="AA14" s="9" t="s">
        <v>2464</v>
      </c>
      <c r="AB14" s="8">
        <v>45809</v>
      </c>
    </row>
    <row r="15" spans="1:28" x14ac:dyDescent="0.3">
      <c r="A15" s="15">
        <v>14</v>
      </c>
      <c r="B15" s="13" t="s">
        <v>42</v>
      </c>
      <c r="C15" s="14">
        <v>45816.71875</v>
      </c>
      <c r="D15" s="14">
        <v>45817.010416666664</v>
      </c>
      <c r="E15" s="14">
        <v>45817.322916666664</v>
      </c>
      <c r="F15" s="13" t="s">
        <v>2490</v>
      </c>
      <c r="G15" s="13" t="s">
        <v>2489</v>
      </c>
      <c r="H15" s="13" t="s">
        <v>2487</v>
      </c>
      <c r="I15" s="13" t="s">
        <v>2488</v>
      </c>
      <c r="J15" s="13" t="s">
        <v>2488</v>
      </c>
      <c r="K15" s="13" t="s">
        <v>2487</v>
      </c>
      <c r="L15" s="13" t="s">
        <v>2486</v>
      </c>
      <c r="M15" s="13" t="s">
        <v>2485</v>
      </c>
      <c r="N15" s="13" t="s">
        <v>2484</v>
      </c>
      <c r="O15" s="13">
        <v>-2.1836559549918801</v>
      </c>
      <c r="P15" s="4">
        <f>O15/100</f>
        <v>-2.18365595499188E-2</v>
      </c>
      <c r="Q15" s="5">
        <f>S14</f>
        <v>134.95660830707385</v>
      </c>
      <c r="R15" s="5">
        <f>Q15*P15*$T$1</f>
        <v>-4.4204820209287261</v>
      </c>
      <c r="S15" s="5">
        <f>R15+Q15</f>
        <v>130.53612628614513</v>
      </c>
      <c r="T15" s="5"/>
      <c r="U15" s="4"/>
      <c r="V15" s="13"/>
      <c r="W15" s="13"/>
      <c r="X15" s="13" t="s">
        <v>2483</v>
      </c>
      <c r="Y15" s="13" t="s">
        <v>63</v>
      </c>
      <c r="Z15" s="13" t="s">
        <v>2482</v>
      </c>
      <c r="AA15" s="13" t="s">
        <v>2437</v>
      </c>
      <c r="AB15" s="12">
        <v>45809</v>
      </c>
    </row>
    <row r="16" spans="1:28" x14ac:dyDescent="0.3">
      <c r="A16" s="11">
        <v>15</v>
      </c>
      <c r="B16" s="9" t="s">
        <v>11</v>
      </c>
      <c r="C16" s="10">
        <v>45817.479166666664</v>
      </c>
      <c r="D16" s="10">
        <v>45817.520833333336</v>
      </c>
      <c r="E16" s="10">
        <v>45817.708333333336</v>
      </c>
      <c r="F16" s="9" t="s">
        <v>2481</v>
      </c>
      <c r="G16" s="9" t="s">
        <v>2480</v>
      </c>
      <c r="H16" s="9" t="s">
        <v>2478</v>
      </c>
      <c r="I16" s="9" t="s">
        <v>2479</v>
      </c>
      <c r="J16" s="9" t="s">
        <v>2479</v>
      </c>
      <c r="K16" s="9" t="s">
        <v>2478</v>
      </c>
      <c r="L16" s="9" t="s">
        <v>2477</v>
      </c>
      <c r="M16" s="9" t="s">
        <v>2476</v>
      </c>
      <c r="N16" s="9" t="s">
        <v>2475</v>
      </c>
      <c r="O16" s="9">
        <v>-0.96363707750899696</v>
      </c>
      <c r="P16" s="4">
        <f>O16/100</f>
        <v>-9.6363707750899696E-3</v>
      </c>
      <c r="Q16" s="5">
        <f>S15</f>
        <v>130.53612628614513</v>
      </c>
      <c r="R16" s="5">
        <f>Q16*P16*$T$1</f>
        <v>-1.8868417686558936</v>
      </c>
      <c r="S16" s="5">
        <f>R16+Q16</f>
        <v>128.64928451748924</v>
      </c>
      <c r="T16" s="5"/>
      <c r="U16" s="4"/>
      <c r="V16" s="9"/>
      <c r="W16" s="9"/>
      <c r="X16" s="9" t="s">
        <v>2474</v>
      </c>
      <c r="Y16" s="9" t="s">
        <v>63</v>
      </c>
      <c r="Z16" s="9" t="s">
        <v>2473</v>
      </c>
      <c r="AA16" s="9" t="s">
        <v>2428</v>
      </c>
      <c r="AB16" s="8">
        <v>45809</v>
      </c>
    </row>
    <row r="17" spans="1:28" x14ac:dyDescent="0.3">
      <c r="A17" s="15">
        <v>16</v>
      </c>
      <c r="B17" s="13" t="s">
        <v>22</v>
      </c>
      <c r="C17" s="14">
        <v>45817.4375</v>
      </c>
      <c r="D17" s="14">
        <v>45817.59375</v>
      </c>
      <c r="E17" s="14">
        <v>45817.875</v>
      </c>
      <c r="F17" s="13" t="s">
        <v>2472</v>
      </c>
      <c r="G17" s="13" t="s">
        <v>2471</v>
      </c>
      <c r="H17" s="13" t="s">
        <v>2469</v>
      </c>
      <c r="I17" s="13" t="s">
        <v>2470</v>
      </c>
      <c r="J17" s="13" t="s">
        <v>2470</v>
      </c>
      <c r="K17" s="13" t="s">
        <v>2469</v>
      </c>
      <c r="L17" s="13" t="s">
        <v>2468</v>
      </c>
      <c r="M17" s="13" t="s">
        <v>2467</v>
      </c>
      <c r="N17" s="13" t="s">
        <v>2466</v>
      </c>
      <c r="O17" s="13">
        <v>-3.2572236247160902</v>
      </c>
      <c r="P17" s="4">
        <f>O17/100</f>
        <v>-3.25722362471609E-2</v>
      </c>
      <c r="Q17" s="5">
        <f>S16</f>
        <v>128.64928451748924</v>
      </c>
      <c r="R17" s="5">
        <f>Q17*P17*$T$1</f>
        <v>-6.285592332497818</v>
      </c>
      <c r="S17" s="5">
        <f>R17+Q17</f>
        <v>122.36369218499142</v>
      </c>
      <c r="T17" s="5"/>
      <c r="U17" s="4"/>
      <c r="V17" s="13"/>
      <c r="W17" s="13"/>
      <c r="X17" s="13" t="s">
        <v>2465</v>
      </c>
      <c r="Y17" s="13" t="s">
        <v>63</v>
      </c>
      <c r="Z17" s="13" t="s">
        <v>2464</v>
      </c>
      <c r="AA17" s="13" t="s">
        <v>2455</v>
      </c>
      <c r="AB17" s="12">
        <v>45809</v>
      </c>
    </row>
    <row r="18" spans="1:28" x14ac:dyDescent="0.3">
      <c r="A18" s="11">
        <v>17</v>
      </c>
      <c r="B18" s="9" t="s">
        <v>22</v>
      </c>
      <c r="C18" s="10">
        <v>45818.020833333336</v>
      </c>
      <c r="D18" s="10">
        <v>45818.302083333336</v>
      </c>
      <c r="E18" s="10">
        <v>45819.833333333336</v>
      </c>
      <c r="F18" s="9" t="s">
        <v>2463</v>
      </c>
      <c r="G18" s="9" t="s">
        <v>2462</v>
      </c>
      <c r="H18" s="9" t="s">
        <v>2460</v>
      </c>
      <c r="I18" s="9" t="s">
        <v>2461</v>
      </c>
      <c r="J18" s="9" t="s">
        <v>2461</v>
      </c>
      <c r="K18" s="9" t="s">
        <v>2460</v>
      </c>
      <c r="L18" s="9" t="s">
        <v>2459</v>
      </c>
      <c r="M18" s="9" t="s">
        <v>2458</v>
      </c>
      <c r="N18" s="9" t="s">
        <v>2457</v>
      </c>
      <c r="O18" s="9">
        <v>8</v>
      </c>
      <c r="P18" s="4">
        <f>O18/100</f>
        <v>0.08</v>
      </c>
      <c r="Q18" s="5">
        <f>S17</f>
        <v>122.36369218499142</v>
      </c>
      <c r="R18" s="5">
        <f>Q18*P18*$T$1</f>
        <v>14.683643062198971</v>
      </c>
      <c r="S18" s="5">
        <f>R18+Q18</f>
        <v>137.0473352471904</v>
      </c>
      <c r="T18" s="5"/>
      <c r="U18" s="4"/>
      <c r="V18" s="9"/>
      <c r="W18" s="9"/>
      <c r="X18" s="9" t="s">
        <v>2456</v>
      </c>
      <c r="Y18" s="9" t="s">
        <v>2</v>
      </c>
      <c r="Z18" s="9" t="s">
        <v>2455</v>
      </c>
      <c r="AA18" s="9" t="s">
        <v>2446</v>
      </c>
      <c r="AB18" s="8">
        <v>45809</v>
      </c>
    </row>
    <row r="19" spans="1:28" x14ac:dyDescent="0.3">
      <c r="A19" s="15">
        <v>18</v>
      </c>
      <c r="B19" s="13" t="s">
        <v>22</v>
      </c>
      <c r="C19" s="14">
        <v>45818.479166666664</v>
      </c>
      <c r="D19" s="14">
        <v>45818.5625</v>
      </c>
      <c r="E19" s="14">
        <v>45819.833333333336</v>
      </c>
      <c r="F19" s="13" t="s">
        <v>2454</v>
      </c>
      <c r="G19" s="13" t="s">
        <v>2453</v>
      </c>
      <c r="H19" s="13" t="s">
        <v>2451</v>
      </c>
      <c r="I19" s="13" t="s">
        <v>2452</v>
      </c>
      <c r="J19" s="13" t="s">
        <v>2452</v>
      </c>
      <c r="K19" s="13" t="s">
        <v>2451</v>
      </c>
      <c r="L19" s="13" t="s">
        <v>2450</v>
      </c>
      <c r="M19" s="13" t="s">
        <v>2449</v>
      </c>
      <c r="N19" s="13" t="s">
        <v>2448</v>
      </c>
      <c r="O19" s="13">
        <v>8</v>
      </c>
      <c r="P19" s="4">
        <f>O19/100</f>
        <v>0.08</v>
      </c>
      <c r="Q19" s="5">
        <f>S18</f>
        <v>137.0473352471904</v>
      </c>
      <c r="R19" s="5">
        <f>Q19*P19*$T$1</f>
        <v>16.445680229662848</v>
      </c>
      <c r="S19" s="5">
        <f>R19+Q19</f>
        <v>153.49301547685326</v>
      </c>
      <c r="T19" s="5"/>
      <c r="U19" s="4"/>
      <c r="V19" s="13"/>
      <c r="W19" s="13"/>
      <c r="X19" s="13" t="s">
        <v>2447</v>
      </c>
      <c r="Y19" s="13" t="s">
        <v>2</v>
      </c>
      <c r="Z19" s="13" t="s">
        <v>2446</v>
      </c>
      <c r="AA19" s="13" t="s">
        <v>2392</v>
      </c>
      <c r="AB19" s="12">
        <v>45809</v>
      </c>
    </row>
    <row r="20" spans="1:28" x14ac:dyDescent="0.3">
      <c r="A20" s="11">
        <v>19</v>
      </c>
      <c r="B20" s="9" t="s">
        <v>42</v>
      </c>
      <c r="C20" s="10">
        <v>45818.479166666664</v>
      </c>
      <c r="D20" s="10">
        <v>45818.604166666664</v>
      </c>
      <c r="E20" s="10">
        <v>45818.78125</v>
      </c>
      <c r="F20" s="9" t="s">
        <v>2445</v>
      </c>
      <c r="G20" s="9" t="s">
        <v>2444</v>
      </c>
      <c r="H20" s="9" t="s">
        <v>2442</v>
      </c>
      <c r="I20" s="9" t="s">
        <v>2443</v>
      </c>
      <c r="J20" s="9" t="s">
        <v>2443</v>
      </c>
      <c r="K20" s="9" t="s">
        <v>2442</v>
      </c>
      <c r="L20" s="9" t="s">
        <v>2441</v>
      </c>
      <c r="M20" s="9" t="s">
        <v>2440</v>
      </c>
      <c r="N20" s="9" t="s">
        <v>2439</v>
      </c>
      <c r="O20" s="9">
        <v>-3.1462806844228801</v>
      </c>
      <c r="P20" s="4">
        <f>O20/100</f>
        <v>-3.1462806844228801E-2</v>
      </c>
      <c r="Q20" s="5">
        <f>S19</f>
        <v>153.49301547685326</v>
      </c>
      <c r="R20" s="5">
        <f>Q20*P20*$T$1</f>
        <v>-7.2439816468296829</v>
      </c>
      <c r="S20" s="5">
        <f>R20+Q20</f>
        <v>146.24903383002356</v>
      </c>
      <c r="T20" s="5"/>
      <c r="U20" s="4"/>
      <c r="V20" s="9"/>
      <c r="W20" s="9"/>
      <c r="X20" s="9" t="s">
        <v>2438</v>
      </c>
      <c r="Y20" s="9" t="s">
        <v>63</v>
      </c>
      <c r="Z20" s="9" t="s">
        <v>2437</v>
      </c>
      <c r="AA20" s="9" t="s">
        <v>2419</v>
      </c>
      <c r="AB20" s="8">
        <v>45809</v>
      </c>
    </row>
    <row r="21" spans="1:28" x14ac:dyDescent="0.3">
      <c r="A21" s="15">
        <v>20</v>
      </c>
      <c r="B21" s="13" t="s">
        <v>11</v>
      </c>
      <c r="C21" s="14">
        <v>45819.291666666664</v>
      </c>
      <c r="D21" s="14">
        <v>45819.75</v>
      </c>
      <c r="E21" s="14">
        <v>45820.65625</v>
      </c>
      <c r="F21" s="13" t="s">
        <v>2436</v>
      </c>
      <c r="G21" s="13" t="s">
        <v>2435</v>
      </c>
      <c r="H21" s="13" t="s">
        <v>2433</v>
      </c>
      <c r="I21" s="13" t="s">
        <v>2434</v>
      </c>
      <c r="J21" s="13" t="s">
        <v>2434</v>
      </c>
      <c r="K21" s="13" t="s">
        <v>2433</v>
      </c>
      <c r="L21" s="13" t="s">
        <v>2432</v>
      </c>
      <c r="M21" s="13" t="s">
        <v>2431</v>
      </c>
      <c r="N21" s="13" t="s">
        <v>2430</v>
      </c>
      <c r="O21" s="13">
        <v>6</v>
      </c>
      <c r="P21" s="4">
        <f>O21/100</f>
        <v>0.06</v>
      </c>
      <c r="Q21" s="5">
        <f>S20</f>
        <v>146.24903383002356</v>
      </c>
      <c r="R21" s="5">
        <f>Q21*P21*$T$1</f>
        <v>13.16241304470212</v>
      </c>
      <c r="S21" s="5">
        <f>R21+Q21</f>
        <v>159.4114468747257</v>
      </c>
      <c r="T21" s="5"/>
      <c r="U21" s="4"/>
      <c r="V21" s="13"/>
      <c r="W21" s="13"/>
      <c r="X21" s="13" t="s">
        <v>2429</v>
      </c>
      <c r="Y21" s="13" t="s">
        <v>2</v>
      </c>
      <c r="Z21" s="13" t="s">
        <v>2428</v>
      </c>
      <c r="AA21" s="13" t="s">
        <v>2356</v>
      </c>
      <c r="AB21" s="12">
        <v>45809</v>
      </c>
    </row>
    <row r="22" spans="1:28" x14ac:dyDescent="0.3">
      <c r="A22" s="11">
        <v>21</v>
      </c>
      <c r="B22" s="9" t="s">
        <v>42</v>
      </c>
      <c r="C22" s="10">
        <v>45823.614583333336</v>
      </c>
      <c r="D22" s="10">
        <v>45823.916666666664</v>
      </c>
      <c r="E22" s="10">
        <v>45824.083333333336</v>
      </c>
      <c r="F22" s="9" t="s">
        <v>2427</v>
      </c>
      <c r="G22" s="9" t="s">
        <v>2426</v>
      </c>
      <c r="H22" s="9" t="s">
        <v>2424</v>
      </c>
      <c r="I22" s="9" t="s">
        <v>2425</v>
      </c>
      <c r="J22" s="9" t="s">
        <v>2425</v>
      </c>
      <c r="K22" s="9" t="s">
        <v>2424</v>
      </c>
      <c r="L22" s="9" t="s">
        <v>2423</v>
      </c>
      <c r="M22" s="9" t="s">
        <v>2422</v>
      </c>
      <c r="N22" s="9" t="s">
        <v>2421</v>
      </c>
      <c r="O22" s="9">
        <v>-3.38739478546497</v>
      </c>
      <c r="P22" s="4">
        <f>O22/100</f>
        <v>-3.38739478546497E-2</v>
      </c>
      <c r="Q22" s="5">
        <f>S21</f>
        <v>159.4114468747257</v>
      </c>
      <c r="R22" s="5">
        <f>Q22*P22*$T$1</f>
        <v>-8.0998425583030773</v>
      </c>
      <c r="S22" s="5">
        <f>R22+Q22</f>
        <v>151.31160431642263</v>
      </c>
      <c r="T22" s="5"/>
      <c r="U22" s="4"/>
      <c r="V22" s="9"/>
      <c r="W22" s="9"/>
      <c r="X22" s="9" t="s">
        <v>2420</v>
      </c>
      <c r="Y22" s="9" t="s">
        <v>63</v>
      </c>
      <c r="Z22" s="9" t="s">
        <v>2419</v>
      </c>
      <c r="AA22" s="9" t="s">
        <v>2401</v>
      </c>
      <c r="AB22" s="8">
        <v>45809</v>
      </c>
    </row>
    <row r="23" spans="1:28" x14ac:dyDescent="0.3">
      <c r="A23" s="15">
        <v>22</v>
      </c>
      <c r="B23" s="13" t="s">
        <v>108</v>
      </c>
      <c r="C23" s="14">
        <v>45824.322916666664</v>
      </c>
      <c r="D23" s="14">
        <v>45824.583333333336</v>
      </c>
      <c r="E23" s="14">
        <v>45826.416666666664</v>
      </c>
      <c r="F23" s="13" t="s">
        <v>2418</v>
      </c>
      <c r="G23" s="13" t="s">
        <v>2417</v>
      </c>
      <c r="H23" s="13" t="s">
        <v>2415</v>
      </c>
      <c r="I23" s="13" t="s">
        <v>2416</v>
      </c>
      <c r="J23" s="13" t="s">
        <v>2416</v>
      </c>
      <c r="K23" s="13" t="s">
        <v>2415</v>
      </c>
      <c r="L23" s="13" t="s">
        <v>2414</v>
      </c>
      <c r="M23" s="13" t="s">
        <v>2413</v>
      </c>
      <c r="N23" s="13" t="s">
        <v>2412</v>
      </c>
      <c r="O23" s="13">
        <v>10</v>
      </c>
      <c r="P23" s="4">
        <f>O23/100</f>
        <v>0.1</v>
      </c>
      <c r="Q23" s="5">
        <f>S22</f>
        <v>151.31160431642263</v>
      </c>
      <c r="R23" s="5">
        <f>Q23*P23*$T$1</f>
        <v>22.696740647463397</v>
      </c>
      <c r="S23" s="5">
        <f>R23+Q23</f>
        <v>174.00834496388603</v>
      </c>
      <c r="T23" s="5"/>
      <c r="U23" s="4"/>
      <c r="V23" s="13"/>
      <c r="W23" s="13"/>
      <c r="X23" s="13" t="s">
        <v>2411</v>
      </c>
      <c r="Y23" s="13" t="s">
        <v>2</v>
      </c>
      <c r="Z23" s="13" t="s">
        <v>2410</v>
      </c>
      <c r="AA23" s="13" t="s">
        <v>2330</v>
      </c>
      <c r="AB23" s="12">
        <v>45809</v>
      </c>
    </row>
    <row r="24" spans="1:28" x14ac:dyDescent="0.3">
      <c r="A24" s="11">
        <v>23</v>
      </c>
      <c r="B24" s="9" t="s">
        <v>42</v>
      </c>
      <c r="C24" s="10">
        <v>45824.802083333336</v>
      </c>
      <c r="D24" s="10">
        <v>45824.9375</v>
      </c>
      <c r="E24" s="10">
        <v>45825</v>
      </c>
      <c r="F24" s="9" t="s">
        <v>2409</v>
      </c>
      <c r="G24" s="9" t="s">
        <v>2408</v>
      </c>
      <c r="H24" s="9" t="s">
        <v>2406</v>
      </c>
      <c r="I24" s="9" t="s">
        <v>2407</v>
      </c>
      <c r="J24" s="9" t="s">
        <v>2407</v>
      </c>
      <c r="K24" s="9" t="s">
        <v>2406</v>
      </c>
      <c r="L24" s="9" t="s">
        <v>2405</v>
      </c>
      <c r="M24" s="9" t="s">
        <v>2404</v>
      </c>
      <c r="N24" s="9" t="s">
        <v>2403</v>
      </c>
      <c r="O24" s="9">
        <v>8</v>
      </c>
      <c r="P24" s="4">
        <f>O24/100</f>
        <v>0.08</v>
      </c>
      <c r="Q24" s="5">
        <f>S23</f>
        <v>174.00834496388603</v>
      </c>
      <c r="R24" s="5">
        <f>Q24*P24*$T$1</f>
        <v>20.881001395666324</v>
      </c>
      <c r="S24" s="5">
        <f>R24+Q24</f>
        <v>194.88934635955235</v>
      </c>
      <c r="T24" s="5"/>
      <c r="U24" s="4"/>
      <c r="V24" s="9"/>
      <c r="W24" s="9"/>
      <c r="X24" s="9" t="s">
        <v>2402</v>
      </c>
      <c r="Y24" s="9" t="s">
        <v>2</v>
      </c>
      <c r="Z24" s="9" t="s">
        <v>2401</v>
      </c>
      <c r="AA24" s="9" t="s">
        <v>2383</v>
      </c>
      <c r="AB24" s="8">
        <v>45809</v>
      </c>
    </row>
    <row r="25" spans="1:28" x14ac:dyDescent="0.3">
      <c r="A25" s="15">
        <v>24</v>
      </c>
      <c r="B25" s="13" t="s">
        <v>22</v>
      </c>
      <c r="C25" s="14">
        <v>45824.927083333336</v>
      </c>
      <c r="D25" s="14">
        <v>45824.9375</v>
      </c>
      <c r="E25" s="14">
        <v>45825</v>
      </c>
      <c r="F25" s="13" t="s">
        <v>2400</v>
      </c>
      <c r="G25" s="13" t="s">
        <v>2399</v>
      </c>
      <c r="H25" s="13" t="s">
        <v>2397</v>
      </c>
      <c r="I25" s="13" t="s">
        <v>2398</v>
      </c>
      <c r="J25" s="13" t="s">
        <v>2398</v>
      </c>
      <c r="K25" s="13" t="s">
        <v>2397</v>
      </c>
      <c r="L25" s="13" t="s">
        <v>2396</v>
      </c>
      <c r="M25" s="13" t="s">
        <v>2395</v>
      </c>
      <c r="N25" s="13" t="s">
        <v>2394</v>
      </c>
      <c r="O25" s="13">
        <v>8</v>
      </c>
      <c r="P25" s="4">
        <f>O25/100</f>
        <v>0.08</v>
      </c>
      <c r="Q25" s="5">
        <f>S24</f>
        <v>194.88934635955235</v>
      </c>
      <c r="R25" s="5">
        <f>Q25*P25*$T$1</f>
        <v>23.386721563146281</v>
      </c>
      <c r="S25" s="5">
        <f>R25+Q25</f>
        <v>218.27606792269864</v>
      </c>
      <c r="T25" s="5"/>
      <c r="U25" s="4"/>
      <c r="V25" s="13"/>
      <c r="W25" s="13"/>
      <c r="X25" s="13" t="s">
        <v>2393</v>
      </c>
      <c r="Y25" s="13" t="s">
        <v>2</v>
      </c>
      <c r="Z25" s="13" t="s">
        <v>2392</v>
      </c>
      <c r="AA25" s="13" t="s">
        <v>2347</v>
      </c>
      <c r="AB25" s="12">
        <v>45809</v>
      </c>
    </row>
    <row r="26" spans="1:28" x14ac:dyDescent="0.3">
      <c r="A26" s="11">
        <v>25</v>
      </c>
      <c r="B26" s="9" t="s">
        <v>42</v>
      </c>
      <c r="C26" s="10">
        <v>45826.729166666664</v>
      </c>
      <c r="D26" s="10">
        <v>45826.854166666664</v>
      </c>
      <c r="E26" s="10">
        <v>45827.614583333336</v>
      </c>
      <c r="F26" s="9" t="s">
        <v>2391</v>
      </c>
      <c r="G26" s="9" t="s">
        <v>2390</v>
      </c>
      <c r="H26" s="9" t="s">
        <v>2388</v>
      </c>
      <c r="I26" s="9" t="s">
        <v>2389</v>
      </c>
      <c r="J26" s="9" t="s">
        <v>2389</v>
      </c>
      <c r="K26" s="9" t="s">
        <v>2388</v>
      </c>
      <c r="L26" s="9" t="s">
        <v>2387</v>
      </c>
      <c r="M26" s="9" t="s">
        <v>2386</v>
      </c>
      <c r="N26" s="9" t="s">
        <v>2385</v>
      </c>
      <c r="O26" s="9">
        <v>8</v>
      </c>
      <c r="P26" s="4">
        <f>O26/100</f>
        <v>0.08</v>
      </c>
      <c r="Q26" s="5">
        <f>S25</f>
        <v>218.27606792269864</v>
      </c>
      <c r="R26" s="5">
        <f>Q26*P26*$T$1</f>
        <v>26.19312815072384</v>
      </c>
      <c r="S26" s="5">
        <f>R26+Q26</f>
        <v>244.46919607342249</v>
      </c>
      <c r="T26" s="5"/>
      <c r="U26" s="4"/>
      <c r="V26" s="9"/>
      <c r="W26" s="9"/>
      <c r="X26" s="9" t="s">
        <v>2384</v>
      </c>
      <c r="Y26" s="9" t="s">
        <v>2</v>
      </c>
      <c r="Z26" s="9" t="s">
        <v>2383</v>
      </c>
      <c r="AA26" s="9" t="s">
        <v>2374</v>
      </c>
      <c r="AB26" s="8">
        <v>45809</v>
      </c>
    </row>
    <row r="27" spans="1:28" x14ac:dyDescent="0.3">
      <c r="A27" s="15">
        <v>26</v>
      </c>
      <c r="B27" s="13" t="s">
        <v>42</v>
      </c>
      <c r="C27" s="14">
        <v>45830.947916666664</v>
      </c>
      <c r="D27" s="14">
        <v>45831.708333333336</v>
      </c>
      <c r="E27" s="14">
        <v>45831.71875</v>
      </c>
      <c r="F27" s="13" t="s">
        <v>2382</v>
      </c>
      <c r="G27" s="13" t="s">
        <v>2381</v>
      </c>
      <c r="H27" s="13" t="s">
        <v>2379</v>
      </c>
      <c r="I27" s="13" t="s">
        <v>2380</v>
      </c>
      <c r="J27" s="13" t="s">
        <v>2380</v>
      </c>
      <c r="K27" s="13" t="s">
        <v>2379</v>
      </c>
      <c r="L27" s="13" t="s">
        <v>2378</v>
      </c>
      <c r="M27" s="13" t="s">
        <v>2377</v>
      </c>
      <c r="N27" s="13" t="s">
        <v>2376</v>
      </c>
      <c r="O27" s="13">
        <v>-6.74868050319456</v>
      </c>
      <c r="P27" s="4">
        <f>O27/100</f>
        <v>-6.7486805031945596E-2</v>
      </c>
      <c r="Q27" s="5">
        <f>S26</f>
        <v>244.46919607342249</v>
      </c>
      <c r="R27" s="5">
        <f>Q27*P27*$T$1</f>
        <v>-24.747667457585315</v>
      </c>
      <c r="S27" s="5">
        <f>R27+Q27</f>
        <v>219.72152861583717</v>
      </c>
      <c r="T27" s="5"/>
      <c r="U27" s="4"/>
      <c r="V27" s="13"/>
      <c r="W27" s="13"/>
      <c r="X27" s="13" t="s">
        <v>2375</v>
      </c>
      <c r="Y27" s="13" t="s">
        <v>63</v>
      </c>
      <c r="Z27" s="13" t="s">
        <v>2374</v>
      </c>
      <c r="AA27" s="13" t="s">
        <v>2365</v>
      </c>
      <c r="AB27" s="12">
        <v>45809</v>
      </c>
    </row>
    <row r="28" spans="1:28" x14ac:dyDescent="0.3">
      <c r="A28" s="11">
        <v>27</v>
      </c>
      <c r="B28" s="9" t="s">
        <v>42</v>
      </c>
      <c r="C28" s="10">
        <v>45831.84375</v>
      </c>
      <c r="D28" s="10">
        <v>45831.916666666664</v>
      </c>
      <c r="E28" s="10">
        <v>45831.927083333336</v>
      </c>
      <c r="F28" s="9" t="s">
        <v>2373</v>
      </c>
      <c r="G28" s="9" t="s">
        <v>2372</v>
      </c>
      <c r="H28" s="9" t="s">
        <v>2370</v>
      </c>
      <c r="I28" s="9" t="s">
        <v>2371</v>
      </c>
      <c r="J28" s="9" t="s">
        <v>2371</v>
      </c>
      <c r="K28" s="9" t="s">
        <v>2370</v>
      </c>
      <c r="L28" s="9" t="s">
        <v>2369</v>
      </c>
      <c r="M28" s="9" t="s">
        <v>2368</v>
      </c>
      <c r="N28" s="9" t="s">
        <v>2367</v>
      </c>
      <c r="O28" s="9">
        <v>-3.9003141959440102</v>
      </c>
      <c r="P28" s="4">
        <f>O28/100</f>
        <v>-3.9003141959440102E-2</v>
      </c>
      <c r="Q28" s="5">
        <f>S27</f>
        <v>219.72152861583717</v>
      </c>
      <c r="R28" s="5">
        <f>Q28*P28*$T$1</f>
        <v>-12.854744958223018</v>
      </c>
      <c r="S28" s="5">
        <f>R28+Q28</f>
        <v>206.86678365761415</v>
      </c>
      <c r="T28" s="5"/>
      <c r="U28" s="4"/>
      <c r="V28" s="9"/>
      <c r="W28" s="9"/>
      <c r="X28" s="9" t="s">
        <v>2366</v>
      </c>
      <c r="Y28" s="9" t="s">
        <v>63</v>
      </c>
      <c r="Z28" s="9" t="s">
        <v>2365</v>
      </c>
      <c r="AA28" s="9" t="s">
        <v>2321</v>
      </c>
      <c r="AB28" s="8">
        <v>45809</v>
      </c>
    </row>
    <row r="29" spans="1:28" x14ac:dyDescent="0.3">
      <c r="A29" s="15">
        <v>28</v>
      </c>
      <c r="B29" s="13" t="s">
        <v>11</v>
      </c>
      <c r="C29" s="14">
        <v>45831.979166666664</v>
      </c>
      <c r="D29" s="14">
        <v>45832.09375</v>
      </c>
      <c r="E29" s="14">
        <v>45832.21875</v>
      </c>
      <c r="F29" s="13" t="s">
        <v>2364</v>
      </c>
      <c r="G29" s="13" t="s">
        <v>2363</v>
      </c>
      <c r="H29" s="13" t="s">
        <v>2361</v>
      </c>
      <c r="I29" s="13" t="s">
        <v>2362</v>
      </c>
      <c r="J29" s="13" t="s">
        <v>2362</v>
      </c>
      <c r="K29" s="13" t="s">
        <v>2361</v>
      </c>
      <c r="L29" s="13" t="s">
        <v>2360</v>
      </c>
      <c r="M29" s="13" t="s">
        <v>2359</v>
      </c>
      <c r="N29" s="13" t="s">
        <v>2358</v>
      </c>
      <c r="O29" s="13">
        <v>-1.3961938613901399</v>
      </c>
      <c r="P29" s="4">
        <f>O29/100</f>
        <v>-1.3961938613901399E-2</v>
      </c>
      <c r="Q29" s="5">
        <f>S28</f>
        <v>206.86678365761415</v>
      </c>
      <c r="R29" s="5">
        <f>Q29*P29*$T$1</f>
        <v>-4.3323920020242443</v>
      </c>
      <c r="S29" s="5">
        <f>R29+Q29</f>
        <v>202.5343916555899</v>
      </c>
      <c r="T29" s="5"/>
      <c r="U29" s="4"/>
      <c r="V29" s="13"/>
      <c r="W29" s="13"/>
      <c r="X29" s="13" t="s">
        <v>2357</v>
      </c>
      <c r="Y29" s="13" t="s">
        <v>63</v>
      </c>
      <c r="Z29" s="13" t="s">
        <v>2356</v>
      </c>
      <c r="AA29" s="13" t="s">
        <v>2338</v>
      </c>
      <c r="AB29" s="12">
        <v>45809</v>
      </c>
    </row>
    <row r="30" spans="1:28" x14ac:dyDescent="0.3">
      <c r="A30" s="11">
        <v>29</v>
      </c>
      <c r="B30" s="9" t="s">
        <v>22</v>
      </c>
      <c r="C30" s="10">
        <v>45831.989583333336</v>
      </c>
      <c r="D30" s="10">
        <v>45832.135416666664</v>
      </c>
      <c r="E30" s="10">
        <v>45832.270833333336</v>
      </c>
      <c r="F30" s="9" t="s">
        <v>2355</v>
      </c>
      <c r="G30" s="9" t="s">
        <v>2354</v>
      </c>
      <c r="H30" s="9" t="s">
        <v>2352</v>
      </c>
      <c r="I30" s="9" t="s">
        <v>2353</v>
      </c>
      <c r="J30" s="9" t="s">
        <v>2353</v>
      </c>
      <c r="K30" s="9" t="s">
        <v>2352</v>
      </c>
      <c r="L30" s="9" t="s">
        <v>2351</v>
      </c>
      <c r="M30" s="9" t="s">
        <v>2350</v>
      </c>
      <c r="N30" s="9" t="s">
        <v>2349</v>
      </c>
      <c r="O30" s="9">
        <v>-4.34933936627354</v>
      </c>
      <c r="P30" s="4">
        <f>O30/100</f>
        <v>-4.34933936627354E-2</v>
      </c>
      <c r="Q30" s="5">
        <f>S29</f>
        <v>202.5343916555899</v>
      </c>
      <c r="R30" s="5">
        <f>Q30*P30*$T$1</f>
        <v>-13.213362039778804</v>
      </c>
      <c r="S30" s="5">
        <f>R30+Q30</f>
        <v>189.32102961581109</v>
      </c>
      <c r="T30" s="5"/>
      <c r="U30" s="4"/>
      <c r="V30" s="9"/>
      <c r="W30" s="9"/>
      <c r="X30" s="9" t="s">
        <v>2348</v>
      </c>
      <c r="Y30" s="9" t="s">
        <v>63</v>
      </c>
      <c r="Z30" s="9" t="s">
        <v>2347</v>
      </c>
      <c r="AA30" s="9" t="s">
        <v>2312</v>
      </c>
      <c r="AB30" s="8">
        <v>45809</v>
      </c>
    </row>
    <row r="31" spans="1:28" x14ac:dyDescent="0.3">
      <c r="A31" s="15">
        <v>30</v>
      </c>
      <c r="B31" s="13" t="s">
        <v>11</v>
      </c>
      <c r="C31" s="14">
        <v>45832.270833333336</v>
      </c>
      <c r="D31" s="14">
        <v>45832.3125</v>
      </c>
      <c r="E31" s="14">
        <v>45833.572916666664</v>
      </c>
      <c r="F31" s="13" t="s">
        <v>2346</v>
      </c>
      <c r="G31" s="13" t="s">
        <v>2345</v>
      </c>
      <c r="H31" s="13" t="s">
        <v>2343</v>
      </c>
      <c r="I31" s="13" t="s">
        <v>2344</v>
      </c>
      <c r="J31" s="13" t="s">
        <v>2344</v>
      </c>
      <c r="K31" s="13" t="s">
        <v>2343</v>
      </c>
      <c r="L31" s="13" t="s">
        <v>2342</v>
      </c>
      <c r="M31" s="13" t="s">
        <v>2341</v>
      </c>
      <c r="N31" s="13" t="s">
        <v>2340</v>
      </c>
      <c r="O31" s="13">
        <v>-2.1105641373847099</v>
      </c>
      <c r="P31" s="4">
        <f>O31/100</f>
        <v>-2.11056413738471E-2</v>
      </c>
      <c r="Q31" s="5">
        <f>S30</f>
        <v>189.32102961581109</v>
      </c>
      <c r="R31" s="5">
        <f>Q31*P31*$T$1</f>
        <v>-5.9936126333981923</v>
      </c>
      <c r="S31" s="5">
        <f>R31+Q31</f>
        <v>183.3274169824129</v>
      </c>
      <c r="T31" s="5"/>
      <c r="U31" s="4"/>
      <c r="V31" s="13"/>
      <c r="W31" s="13"/>
      <c r="X31" s="13" t="s">
        <v>2339</v>
      </c>
      <c r="Y31" s="13" t="s">
        <v>63</v>
      </c>
      <c r="Z31" s="13" t="s">
        <v>2338</v>
      </c>
      <c r="AA31" s="13" t="s">
        <v>2295</v>
      </c>
      <c r="AB31" s="12">
        <v>45809</v>
      </c>
    </row>
    <row r="32" spans="1:28" x14ac:dyDescent="0.3">
      <c r="A32" s="11">
        <v>31</v>
      </c>
      <c r="B32" s="9" t="s">
        <v>108</v>
      </c>
      <c r="C32" s="10">
        <v>45832.270833333336</v>
      </c>
      <c r="D32" s="10">
        <v>45832.385416666664</v>
      </c>
      <c r="E32" s="10">
        <v>45834.666666666664</v>
      </c>
      <c r="F32" s="9" t="s">
        <v>2337</v>
      </c>
      <c r="G32" s="9" t="s">
        <v>2336</v>
      </c>
      <c r="H32" s="9" t="s">
        <v>2119</v>
      </c>
      <c r="I32" s="9" t="s">
        <v>2335</v>
      </c>
      <c r="J32" s="9" t="s">
        <v>2335</v>
      </c>
      <c r="K32" s="9" t="s">
        <v>2119</v>
      </c>
      <c r="L32" s="9" t="s">
        <v>2334</v>
      </c>
      <c r="M32" s="9" t="s">
        <v>2333</v>
      </c>
      <c r="N32" s="9" t="s">
        <v>2332</v>
      </c>
      <c r="O32" s="9">
        <v>10</v>
      </c>
      <c r="P32" s="4">
        <f>O32/100</f>
        <v>0.1</v>
      </c>
      <c r="Q32" s="5">
        <f>S31</f>
        <v>183.3274169824129</v>
      </c>
      <c r="R32" s="5">
        <f>Q32*P32*$T$1</f>
        <v>27.499112547361932</v>
      </c>
      <c r="S32" s="5">
        <f>R32+Q32</f>
        <v>210.82652952977483</v>
      </c>
      <c r="T32" s="5"/>
      <c r="U32" s="4"/>
      <c r="V32" s="9"/>
      <c r="W32" s="9"/>
      <c r="X32" s="9" t="s">
        <v>2331</v>
      </c>
      <c r="Y32" s="9" t="s">
        <v>2</v>
      </c>
      <c r="Z32" s="9" t="s">
        <v>2330</v>
      </c>
      <c r="AA32" s="9" t="s">
        <v>2304</v>
      </c>
      <c r="AB32" s="8">
        <v>45809</v>
      </c>
    </row>
    <row r="33" spans="1:28" x14ac:dyDescent="0.3">
      <c r="A33" s="15">
        <v>32</v>
      </c>
      <c r="B33" s="13" t="s">
        <v>42</v>
      </c>
      <c r="C33" s="14">
        <v>45832.270833333336</v>
      </c>
      <c r="D33" s="14">
        <v>45832.385416666664</v>
      </c>
      <c r="E33" s="14">
        <v>45833.083333333336</v>
      </c>
      <c r="F33" s="13" t="s">
        <v>2329</v>
      </c>
      <c r="G33" s="13" t="s">
        <v>2328</v>
      </c>
      <c r="H33" s="13" t="s">
        <v>2326</v>
      </c>
      <c r="I33" s="13" t="s">
        <v>2327</v>
      </c>
      <c r="J33" s="13" t="s">
        <v>2327</v>
      </c>
      <c r="K33" s="13" t="s">
        <v>2326</v>
      </c>
      <c r="L33" s="13" t="s">
        <v>2325</v>
      </c>
      <c r="M33" s="13" t="s">
        <v>2324</v>
      </c>
      <c r="N33" s="13" t="s">
        <v>2323</v>
      </c>
      <c r="O33" s="13">
        <v>-4.0185713410441499</v>
      </c>
      <c r="P33" s="4">
        <f>O33/100</f>
        <v>-4.0185713410441498E-2</v>
      </c>
      <c r="Q33" s="5">
        <f>S32</f>
        <v>210.82652952977483</v>
      </c>
      <c r="R33" s="5">
        <f>Q33*P33*$T$1</f>
        <v>-12.708321742502269</v>
      </c>
      <c r="S33" s="5">
        <f>R33+Q33</f>
        <v>198.11820778727255</v>
      </c>
      <c r="T33" s="5"/>
      <c r="U33" s="4"/>
      <c r="V33" s="13"/>
      <c r="W33" s="13"/>
      <c r="X33" s="13" t="s">
        <v>2322</v>
      </c>
      <c r="Y33" s="13" t="s">
        <v>63</v>
      </c>
      <c r="Z33" s="13" t="s">
        <v>2321</v>
      </c>
      <c r="AA33" s="13" t="s">
        <v>2285</v>
      </c>
      <c r="AB33" s="12">
        <v>45809</v>
      </c>
    </row>
    <row r="34" spans="1:28" x14ac:dyDescent="0.3">
      <c r="A34" s="11">
        <v>33</v>
      </c>
      <c r="B34" s="9" t="s">
        <v>22</v>
      </c>
      <c r="C34" s="10">
        <v>45832.270833333336</v>
      </c>
      <c r="D34" s="10">
        <v>45832.614583333336</v>
      </c>
      <c r="E34" s="10">
        <v>45833.697916666664</v>
      </c>
      <c r="F34" s="9" t="s">
        <v>2320</v>
      </c>
      <c r="G34" s="9" t="s">
        <v>2319</v>
      </c>
      <c r="H34" s="9" t="s">
        <v>2317</v>
      </c>
      <c r="I34" s="9" t="s">
        <v>2318</v>
      </c>
      <c r="J34" s="9" t="s">
        <v>2318</v>
      </c>
      <c r="K34" s="9" t="s">
        <v>2317</v>
      </c>
      <c r="L34" s="9" t="s">
        <v>2316</v>
      </c>
      <c r="M34" s="9" t="s">
        <v>2315</v>
      </c>
      <c r="N34" s="9" t="s">
        <v>2314</v>
      </c>
      <c r="O34" s="9">
        <v>8</v>
      </c>
      <c r="P34" s="4">
        <f>O34/100</f>
        <v>0.08</v>
      </c>
      <c r="Q34" s="5">
        <f>S33</f>
        <v>198.11820778727255</v>
      </c>
      <c r="R34" s="5">
        <f>Q34*P34*$T$1</f>
        <v>23.774184934472707</v>
      </c>
      <c r="S34" s="5">
        <f>R34+Q34</f>
        <v>221.89239272174527</v>
      </c>
      <c r="T34" s="5"/>
      <c r="U34" s="4"/>
      <c r="V34" s="9"/>
      <c r="W34" s="9"/>
      <c r="X34" s="9" t="s">
        <v>2313</v>
      </c>
      <c r="Y34" s="9" t="s">
        <v>2</v>
      </c>
      <c r="Z34" s="9" t="s">
        <v>2312</v>
      </c>
      <c r="AA34" s="9" t="s">
        <v>2276</v>
      </c>
      <c r="AB34" s="8">
        <v>45809</v>
      </c>
    </row>
    <row r="35" spans="1:28" x14ac:dyDescent="0.3">
      <c r="A35" s="15">
        <v>34</v>
      </c>
      <c r="B35" s="13" t="s">
        <v>108</v>
      </c>
      <c r="C35" s="14">
        <v>45834.135416666664</v>
      </c>
      <c r="D35" s="14">
        <v>45834.239583333336</v>
      </c>
      <c r="E35" s="14">
        <v>45834.260416666664</v>
      </c>
      <c r="F35" s="13" t="s">
        <v>2311</v>
      </c>
      <c r="G35" s="13" t="s">
        <v>2310</v>
      </c>
      <c r="H35" s="13" t="s">
        <v>2235</v>
      </c>
      <c r="I35" s="13" t="s">
        <v>2309</v>
      </c>
      <c r="J35" s="13" t="s">
        <v>2309</v>
      </c>
      <c r="K35" s="13" t="s">
        <v>2235</v>
      </c>
      <c r="L35" s="13" t="s">
        <v>2308</v>
      </c>
      <c r="M35" s="13" t="s">
        <v>2307</v>
      </c>
      <c r="N35" s="13" t="s">
        <v>2306</v>
      </c>
      <c r="O35" s="13">
        <v>-2.1169765232731699</v>
      </c>
      <c r="P35" s="4">
        <f>O35/100</f>
        <v>-2.1169765232731699E-2</v>
      </c>
      <c r="Q35" s="5">
        <f>S34</f>
        <v>221.89239272174527</v>
      </c>
      <c r="R35" s="5">
        <f>Q35*P35*$T$1</f>
        <v>-7.0461147912726769</v>
      </c>
      <c r="S35" s="5">
        <f>R35+Q35</f>
        <v>214.84627793047258</v>
      </c>
      <c r="T35" s="5"/>
      <c r="U35" s="4"/>
      <c r="V35" s="13"/>
      <c r="W35" s="13"/>
      <c r="X35" s="13" t="s">
        <v>2305</v>
      </c>
      <c r="Y35" s="13" t="s">
        <v>63</v>
      </c>
      <c r="Z35" s="13" t="s">
        <v>2304</v>
      </c>
      <c r="AA35" s="13" t="s">
        <v>2230</v>
      </c>
      <c r="AB35" s="12">
        <v>45809</v>
      </c>
    </row>
    <row r="36" spans="1:28" x14ac:dyDescent="0.3">
      <c r="A36" s="11">
        <v>35</v>
      </c>
      <c r="B36" s="9" t="s">
        <v>11</v>
      </c>
      <c r="C36" s="10">
        <v>45834.854166666664</v>
      </c>
      <c r="D36" s="10">
        <v>45834.895833333336</v>
      </c>
      <c r="E36" s="10">
        <v>45836.729166666664</v>
      </c>
      <c r="F36" s="9" t="s">
        <v>2303</v>
      </c>
      <c r="G36" s="9" t="s">
        <v>2302</v>
      </c>
      <c r="H36" s="9" t="s">
        <v>2300</v>
      </c>
      <c r="I36" s="9" t="s">
        <v>2301</v>
      </c>
      <c r="J36" s="9" t="s">
        <v>2301</v>
      </c>
      <c r="K36" s="9" t="s">
        <v>2300</v>
      </c>
      <c r="L36" s="9" t="s">
        <v>2299</v>
      </c>
      <c r="M36" s="9" t="s">
        <v>2298</v>
      </c>
      <c r="N36" s="9" t="s">
        <v>2297</v>
      </c>
      <c r="O36" s="9">
        <v>-1.94268522268557</v>
      </c>
      <c r="P36" s="4">
        <f>O36/100</f>
        <v>-1.9426852226855699E-2</v>
      </c>
      <c r="Q36" s="5">
        <f>S35</f>
        <v>214.84627793047258</v>
      </c>
      <c r="R36" s="5">
        <f>Q36*P36*$T$1</f>
        <v>-6.2606803392678891</v>
      </c>
      <c r="S36" s="5">
        <f>R36+Q36</f>
        <v>208.5855975912047</v>
      </c>
      <c r="T36" s="5"/>
      <c r="U36" s="4"/>
      <c r="V36" s="9"/>
      <c r="W36" s="9"/>
      <c r="X36" s="9" t="s">
        <v>2296</v>
      </c>
      <c r="Y36" s="9" t="s">
        <v>63</v>
      </c>
      <c r="Z36" s="9" t="s">
        <v>2295</v>
      </c>
      <c r="AA36" s="9" t="s">
        <v>2294</v>
      </c>
      <c r="AB36" s="8">
        <v>45809</v>
      </c>
    </row>
    <row r="37" spans="1:28" x14ac:dyDescent="0.3">
      <c r="A37" s="15">
        <v>36</v>
      </c>
      <c r="B37" s="13" t="s">
        <v>42</v>
      </c>
      <c r="C37" s="14">
        <v>45835.395833333336</v>
      </c>
      <c r="D37" s="14">
        <v>45835.59375</v>
      </c>
      <c r="E37" s="14">
        <v>45835.6875</v>
      </c>
      <c r="F37" s="13" t="s">
        <v>2293</v>
      </c>
      <c r="G37" s="13" t="s">
        <v>2292</v>
      </c>
      <c r="H37" s="13" t="s">
        <v>2290</v>
      </c>
      <c r="I37" s="13" t="s">
        <v>2291</v>
      </c>
      <c r="J37" s="13" t="s">
        <v>2291</v>
      </c>
      <c r="K37" s="13" t="s">
        <v>2290</v>
      </c>
      <c r="L37" s="13" t="s">
        <v>2289</v>
      </c>
      <c r="M37" s="13" t="s">
        <v>2288</v>
      </c>
      <c r="N37" s="13" t="s">
        <v>2287</v>
      </c>
      <c r="O37" s="13">
        <v>-2.95760975083593</v>
      </c>
      <c r="P37" s="4">
        <f>O37/100</f>
        <v>-2.9576097508359302E-2</v>
      </c>
      <c r="Q37" s="5">
        <f>S36</f>
        <v>208.5855975912047</v>
      </c>
      <c r="R37" s="5">
        <f>Q37*P37*$T$1</f>
        <v>-9.253721959795298</v>
      </c>
      <c r="S37" s="5">
        <f>R37+Q37</f>
        <v>199.33187563140942</v>
      </c>
      <c r="T37" s="5"/>
      <c r="U37" s="4"/>
      <c r="V37" s="13"/>
      <c r="W37" s="13"/>
      <c r="X37" s="13" t="s">
        <v>2286</v>
      </c>
      <c r="Y37" s="13" t="s">
        <v>63</v>
      </c>
      <c r="Z37" s="13" t="s">
        <v>2285</v>
      </c>
      <c r="AA37" s="13" t="s">
        <v>2258</v>
      </c>
      <c r="AB37" s="12">
        <v>45809</v>
      </c>
    </row>
    <row r="38" spans="1:28" x14ac:dyDescent="0.3">
      <c r="A38" s="11">
        <v>37</v>
      </c>
      <c r="B38" s="9" t="s">
        <v>22</v>
      </c>
      <c r="C38" s="10">
        <v>45836.458333333336</v>
      </c>
      <c r="D38" s="10">
        <v>45836.59375</v>
      </c>
      <c r="E38" s="10">
        <v>45836.739583333336</v>
      </c>
      <c r="F38" s="9" t="s">
        <v>2284</v>
      </c>
      <c r="G38" s="9" t="s">
        <v>2283</v>
      </c>
      <c r="H38" s="9" t="s">
        <v>2281</v>
      </c>
      <c r="I38" s="9" t="s">
        <v>2282</v>
      </c>
      <c r="J38" s="9" t="s">
        <v>2282</v>
      </c>
      <c r="K38" s="9" t="s">
        <v>2281</v>
      </c>
      <c r="L38" s="9" t="s">
        <v>2280</v>
      </c>
      <c r="M38" s="9" t="s">
        <v>2279</v>
      </c>
      <c r="N38" s="9" t="s">
        <v>2278</v>
      </c>
      <c r="O38" s="9">
        <v>-3.7764984679232798</v>
      </c>
      <c r="P38" s="4">
        <f>O38/100</f>
        <v>-3.7764984679232796E-2</v>
      </c>
      <c r="Q38" s="5">
        <f>S37</f>
        <v>199.33187563140942</v>
      </c>
      <c r="R38" s="5">
        <f>Q38*P38*$T$1</f>
        <v>-11.291647843954371</v>
      </c>
      <c r="S38" s="5">
        <f>R38+Q38</f>
        <v>188.04022778745505</v>
      </c>
      <c r="T38" s="5"/>
      <c r="U38" s="4"/>
      <c r="V38" s="9"/>
      <c r="W38" s="9"/>
      <c r="X38" s="9" t="s">
        <v>2277</v>
      </c>
      <c r="Y38" s="9" t="s">
        <v>63</v>
      </c>
      <c r="Z38" s="9" t="s">
        <v>2276</v>
      </c>
      <c r="AA38" s="9" t="s">
        <v>2267</v>
      </c>
      <c r="AB38" s="8">
        <v>45809</v>
      </c>
    </row>
    <row r="39" spans="1:28" x14ac:dyDescent="0.3">
      <c r="A39" s="15">
        <v>38</v>
      </c>
      <c r="B39" s="13" t="s">
        <v>22</v>
      </c>
      <c r="C39" s="14">
        <v>45837.385416666664</v>
      </c>
      <c r="D39" s="14">
        <v>45837.510416666664</v>
      </c>
      <c r="E39" s="14">
        <v>45837.916666666664</v>
      </c>
      <c r="F39" s="13" t="s">
        <v>2275</v>
      </c>
      <c r="G39" s="13" t="s">
        <v>2274</v>
      </c>
      <c r="H39" s="13" t="s">
        <v>2272</v>
      </c>
      <c r="I39" s="13" t="s">
        <v>2273</v>
      </c>
      <c r="J39" s="13" t="s">
        <v>2273</v>
      </c>
      <c r="K39" s="13" t="s">
        <v>2272</v>
      </c>
      <c r="L39" s="13" t="s">
        <v>2271</v>
      </c>
      <c r="M39" s="13" t="s">
        <v>2270</v>
      </c>
      <c r="N39" s="13" t="s">
        <v>2269</v>
      </c>
      <c r="O39" s="13">
        <v>-2.4751830632065799</v>
      </c>
      <c r="P39" s="4">
        <f>O39/100</f>
        <v>-2.4751830632065798E-2</v>
      </c>
      <c r="Q39" s="5">
        <f>S38</f>
        <v>188.04022778745505</v>
      </c>
      <c r="R39" s="5">
        <f>Q39*P39*$T$1</f>
        <v>-6.9815098053152402</v>
      </c>
      <c r="S39" s="5">
        <f>R39+Q39</f>
        <v>181.05871798213983</v>
      </c>
      <c r="T39" s="5"/>
      <c r="U39" s="4"/>
      <c r="V39" s="13"/>
      <c r="W39" s="13"/>
      <c r="X39" s="13" t="s">
        <v>2268</v>
      </c>
      <c r="Y39" s="13" t="s">
        <v>63</v>
      </c>
      <c r="Z39" s="13" t="s">
        <v>2267</v>
      </c>
      <c r="AA39" s="13" t="s">
        <v>2249</v>
      </c>
      <c r="AB39" s="12">
        <v>45809</v>
      </c>
    </row>
    <row r="40" spans="1:28" x14ac:dyDescent="0.3">
      <c r="A40" s="11">
        <v>39</v>
      </c>
      <c r="B40" s="9" t="s">
        <v>42</v>
      </c>
      <c r="C40" s="10">
        <v>45837.583333333336</v>
      </c>
      <c r="D40" s="10">
        <v>45837.71875</v>
      </c>
      <c r="E40" s="10">
        <v>45837.927083333336</v>
      </c>
      <c r="F40" s="9" t="s">
        <v>2266</v>
      </c>
      <c r="G40" s="9" t="s">
        <v>2265</v>
      </c>
      <c r="H40" s="9" t="s">
        <v>2263</v>
      </c>
      <c r="I40" s="9" t="s">
        <v>2264</v>
      </c>
      <c r="J40" s="9" t="s">
        <v>2264</v>
      </c>
      <c r="K40" s="9" t="s">
        <v>2263</v>
      </c>
      <c r="L40" s="9" t="s">
        <v>2262</v>
      </c>
      <c r="M40" s="9" t="s">
        <v>2261</v>
      </c>
      <c r="N40" s="9" t="s">
        <v>2260</v>
      </c>
      <c r="O40" s="9">
        <v>-2.3615848858567201</v>
      </c>
      <c r="P40" s="4">
        <f>O40/100</f>
        <v>-2.3615848858567202E-2</v>
      </c>
      <c r="Q40" s="5">
        <f>S39</f>
        <v>181.05871798213983</v>
      </c>
      <c r="R40" s="5">
        <f>Q40*P40*$T$1</f>
        <v>-6.4137829775882373</v>
      </c>
      <c r="S40" s="5">
        <f>R40+Q40</f>
        <v>174.6449350045516</v>
      </c>
      <c r="T40" s="5"/>
      <c r="U40" s="4"/>
      <c r="V40" s="9"/>
      <c r="W40" s="9"/>
      <c r="X40" s="9" t="s">
        <v>2259</v>
      </c>
      <c r="Y40" s="9" t="s">
        <v>63</v>
      </c>
      <c r="Z40" s="9" t="s">
        <v>2258</v>
      </c>
      <c r="AA40" s="9" t="s">
        <v>2212</v>
      </c>
      <c r="AB40" s="8">
        <v>45809</v>
      </c>
    </row>
    <row r="41" spans="1:28" x14ac:dyDescent="0.3">
      <c r="A41" s="15">
        <v>40</v>
      </c>
      <c r="B41" s="13" t="s">
        <v>22</v>
      </c>
      <c r="C41" s="14">
        <v>45838.010416666664</v>
      </c>
      <c r="D41" s="14">
        <v>45838.020833333336</v>
      </c>
      <c r="E41" s="14">
        <v>45838.53125</v>
      </c>
      <c r="F41" s="13" t="s">
        <v>2257</v>
      </c>
      <c r="G41" s="13" t="s">
        <v>2256</v>
      </c>
      <c r="H41" s="13" t="s">
        <v>2254</v>
      </c>
      <c r="I41" s="13" t="s">
        <v>2255</v>
      </c>
      <c r="J41" s="13" t="s">
        <v>2255</v>
      </c>
      <c r="K41" s="13" t="s">
        <v>2254</v>
      </c>
      <c r="L41" s="13" t="s">
        <v>2253</v>
      </c>
      <c r="M41" s="13" t="s">
        <v>2252</v>
      </c>
      <c r="N41" s="13" t="s">
        <v>2251</v>
      </c>
      <c r="O41" s="13">
        <v>8</v>
      </c>
      <c r="P41" s="4">
        <f>O41/100</f>
        <v>0.08</v>
      </c>
      <c r="Q41" s="5">
        <f>S40</f>
        <v>174.6449350045516</v>
      </c>
      <c r="R41" s="5">
        <f>Q41*P41*$T$1</f>
        <v>20.957392200546192</v>
      </c>
      <c r="S41" s="5">
        <f>R41+Q41</f>
        <v>195.60232720509779</v>
      </c>
      <c r="T41" s="5"/>
      <c r="U41" s="4"/>
      <c r="V41" s="13"/>
      <c r="W41" s="13"/>
      <c r="X41" s="13" t="s">
        <v>2250</v>
      </c>
      <c r="Y41" s="13" t="s">
        <v>2</v>
      </c>
      <c r="Z41" s="13" t="s">
        <v>2249</v>
      </c>
      <c r="AA41" s="13" t="s">
        <v>2203</v>
      </c>
      <c r="AB41" s="12">
        <v>45809</v>
      </c>
    </row>
    <row r="42" spans="1:28" x14ac:dyDescent="0.3">
      <c r="A42" s="11">
        <v>41</v>
      </c>
      <c r="B42" s="9" t="s">
        <v>11</v>
      </c>
      <c r="C42" s="10">
        <v>45838.03125</v>
      </c>
      <c r="D42" s="10">
        <v>45838.041666666664</v>
      </c>
      <c r="E42" s="10">
        <v>45839.5625</v>
      </c>
      <c r="F42" s="9" t="s">
        <v>2248</v>
      </c>
      <c r="G42" s="9" t="s">
        <v>2247</v>
      </c>
      <c r="H42" s="9" t="s">
        <v>2245</v>
      </c>
      <c r="I42" s="9" t="s">
        <v>2246</v>
      </c>
      <c r="J42" s="9" t="s">
        <v>2246</v>
      </c>
      <c r="K42" s="9" t="s">
        <v>2245</v>
      </c>
      <c r="L42" s="9" t="s">
        <v>2244</v>
      </c>
      <c r="M42" s="9" t="s">
        <v>2243</v>
      </c>
      <c r="N42" s="9" t="s">
        <v>2242</v>
      </c>
      <c r="O42" s="9">
        <v>6</v>
      </c>
      <c r="P42" s="4">
        <f>O42/100</f>
        <v>0.06</v>
      </c>
      <c r="Q42" s="5">
        <f>S41</f>
        <v>195.60232720509779</v>
      </c>
      <c r="R42" s="5">
        <f>Q42*P42*$T$1</f>
        <v>17.604209448458803</v>
      </c>
      <c r="S42" s="5">
        <f>R42+Q42</f>
        <v>213.20653665355661</v>
      </c>
      <c r="T42" s="5"/>
      <c r="U42" s="4"/>
      <c r="V42" s="9"/>
      <c r="W42" s="9"/>
      <c r="X42" s="9" t="s">
        <v>2241</v>
      </c>
      <c r="Y42" s="9" t="s">
        <v>2</v>
      </c>
      <c r="Z42" s="9" t="s">
        <v>2240</v>
      </c>
      <c r="AA42" s="9" t="s">
        <v>2239</v>
      </c>
      <c r="AB42" s="8">
        <v>45809</v>
      </c>
    </row>
    <row r="43" spans="1:28" x14ac:dyDescent="0.3">
      <c r="A43" s="15">
        <v>42</v>
      </c>
      <c r="B43" s="13" t="s">
        <v>108</v>
      </c>
      <c r="C43" s="14">
        <v>45840.875</v>
      </c>
      <c r="D43" s="14">
        <v>45840.958333333336</v>
      </c>
      <c r="E43" s="14">
        <v>45841.239583333336</v>
      </c>
      <c r="F43" s="13" t="s">
        <v>2238</v>
      </c>
      <c r="G43" s="13" t="s">
        <v>2237</v>
      </c>
      <c r="H43" s="13" t="s">
        <v>2235</v>
      </c>
      <c r="I43" s="13" t="s">
        <v>2236</v>
      </c>
      <c r="J43" s="13" t="s">
        <v>2236</v>
      </c>
      <c r="K43" s="13" t="s">
        <v>2235</v>
      </c>
      <c r="L43" s="13" t="s">
        <v>2234</v>
      </c>
      <c r="M43" s="13" t="s">
        <v>2233</v>
      </c>
      <c r="N43" s="13" t="s">
        <v>2232</v>
      </c>
      <c r="O43" s="13">
        <v>-1.77170678928862</v>
      </c>
      <c r="P43" s="4">
        <f>O43/100</f>
        <v>-1.7717067892886199E-2</v>
      </c>
      <c r="Q43" s="5">
        <f>S42</f>
        <v>213.20653665355661</v>
      </c>
      <c r="R43" s="5">
        <f>Q43*P43*$T$1</f>
        <v>-5.6660920276472879</v>
      </c>
      <c r="S43" s="5">
        <f>R43+Q43</f>
        <v>207.54044462590932</v>
      </c>
      <c r="T43" s="5"/>
      <c r="U43" s="4"/>
      <c r="V43" s="13"/>
      <c r="W43" s="13"/>
      <c r="X43" s="13" t="s">
        <v>2231</v>
      </c>
      <c r="Y43" s="13" t="s">
        <v>63</v>
      </c>
      <c r="Z43" s="13" t="s">
        <v>2230</v>
      </c>
      <c r="AA43" s="13" t="s">
        <v>2141</v>
      </c>
      <c r="AB43" s="12">
        <v>45839</v>
      </c>
    </row>
    <row r="44" spans="1:28" x14ac:dyDescent="0.3">
      <c r="A44" s="11">
        <v>43</v>
      </c>
      <c r="B44" s="9" t="s">
        <v>11</v>
      </c>
      <c r="C44" s="10">
        <v>45841.28125</v>
      </c>
      <c r="D44" s="10">
        <v>45841.520833333336</v>
      </c>
      <c r="E44" s="10">
        <v>45842.645833333336</v>
      </c>
      <c r="F44" s="9" t="s">
        <v>2229</v>
      </c>
      <c r="G44" s="9" t="s">
        <v>2228</v>
      </c>
      <c r="H44" s="9" t="s">
        <v>2226</v>
      </c>
      <c r="I44" s="9" t="s">
        <v>2227</v>
      </c>
      <c r="J44" s="9" t="s">
        <v>2227</v>
      </c>
      <c r="K44" s="9" t="s">
        <v>2226</v>
      </c>
      <c r="L44" s="9" t="s">
        <v>2225</v>
      </c>
      <c r="M44" s="9" t="s">
        <v>2224</v>
      </c>
      <c r="N44" s="9" t="s">
        <v>2223</v>
      </c>
      <c r="O44" s="9">
        <v>6</v>
      </c>
      <c r="P44" s="4">
        <f>O44/100</f>
        <v>0.06</v>
      </c>
      <c r="Q44" s="5">
        <f>S43</f>
        <v>207.54044462590932</v>
      </c>
      <c r="R44" s="5">
        <f>Q44*P44*$T$1</f>
        <v>18.67864001633184</v>
      </c>
      <c r="S44" s="5">
        <f>R44+Q44</f>
        <v>226.21908464224117</v>
      </c>
      <c r="T44" s="5"/>
      <c r="U44" s="4"/>
      <c r="V44" s="9"/>
      <c r="W44" s="9"/>
      <c r="X44" s="9" t="s">
        <v>2222</v>
      </c>
      <c r="Y44" s="9" t="s">
        <v>2</v>
      </c>
      <c r="Z44" s="9" t="s">
        <v>2221</v>
      </c>
      <c r="AA44" s="9" t="s">
        <v>2176</v>
      </c>
      <c r="AB44" s="8">
        <v>45839</v>
      </c>
    </row>
    <row r="45" spans="1:28" x14ac:dyDescent="0.3">
      <c r="A45" s="15">
        <v>44</v>
      </c>
      <c r="B45" s="13" t="s">
        <v>42</v>
      </c>
      <c r="C45" s="14">
        <v>45841.416666666664</v>
      </c>
      <c r="D45" s="14">
        <v>45841.583333333336</v>
      </c>
      <c r="E45" s="14">
        <v>45842.552083333336</v>
      </c>
      <c r="F45" s="13" t="s">
        <v>2220</v>
      </c>
      <c r="G45" s="13" t="s">
        <v>2219</v>
      </c>
      <c r="H45" s="13" t="s">
        <v>2217</v>
      </c>
      <c r="I45" s="13" t="s">
        <v>2218</v>
      </c>
      <c r="J45" s="13" t="s">
        <v>2218</v>
      </c>
      <c r="K45" s="13" t="s">
        <v>2217</v>
      </c>
      <c r="L45" s="13" t="s">
        <v>2216</v>
      </c>
      <c r="M45" s="13" t="s">
        <v>2215</v>
      </c>
      <c r="N45" s="13" t="s">
        <v>2214</v>
      </c>
      <c r="O45" s="13">
        <v>8</v>
      </c>
      <c r="P45" s="4">
        <f>O45/100</f>
        <v>0.08</v>
      </c>
      <c r="Q45" s="5">
        <f>S44</f>
        <v>226.21908464224117</v>
      </c>
      <c r="R45" s="5">
        <f>Q45*P45*$T$1</f>
        <v>27.14629015706894</v>
      </c>
      <c r="S45" s="5">
        <f>R45+Q45</f>
        <v>253.3653747993101</v>
      </c>
      <c r="T45" s="5"/>
      <c r="U45" s="4"/>
      <c r="V45" s="13"/>
      <c r="W45" s="13"/>
      <c r="X45" s="13" t="s">
        <v>2213</v>
      </c>
      <c r="Y45" s="13" t="s">
        <v>2</v>
      </c>
      <c r="Z45" s="13" t="s">
        <v>2212</v>
      </c>
      <c r="AA45" s="13" t="s">
        <v>2149</v>
      </c>
      <c r="AB45" s="12">
        <v>45839</v>
      </c>
    </row>
    <row r="46" spans="1:28" x14ac:dyDescent="0.3">
      <c r="A46" s="11">
        <v>45</v>
      </c>
      <c r="B46" s="9" t="s">
        <v>22</v>
      </c>
      <c r="C46" s="10">
        <v>45843.15625</v>
      </c>
      <c r="D46" s="10">
        <v>45843.520833333336</v>
      </c>
      <c r="E46" s="10">
        <v>45844.84375</v>
      </c>
      <c r="F46" s="9" t="s">
        <v>2211</v>
      </c>
      <c r="G46" s="9" t="s">
        <v>2210</v>
      </c>
      <c r="H46" s="9" t="s">
        <v>2208</v>
      </c>
      <c r="I46" s="9" t="s">
        <v>2209</v>
      </c>
      <c r="J46" s="9" t="s">
        <v>2209</v>
      </c>
      <c r="K46" s="9" t="s">
        <v>2208</v>
      </c>
      <c r="L46" s="9" t="s">
        <v>2207</v>
      </c>
      <c r="M46" s="9" t="s">
        <v>2206</v>
      </c>
      <c r="N46" s="9" t="s">
        <v>2205</v>
      </c>
      <c r="O46" s="9">
        <v>-5.1212200778959396</v>
      </c>
      <c r="P46" s="4">
        <f>O46/100</f>
        <v>-5.1212200778959396E-2</v>
      </c>
      <c r="Q46" s="5">
        <f>S45</f>
        <v>253.3653747993101</v>
      </c>
      <c r="R46" s="5">
        <f>Q46*P46*$T$1</f>
        <v>-19.463097666987853</v>
      </c>
      <c r="S46" s="5">
        <f>R46+Q46</f>
        <v>233.90227713232224</v>
      </c>
      <c r="T46" s="5"/>
      <c r="U46" s="4"/>
      <c r="V46" s="9"/>
      <c r="W46" s="9"/>
      <c r="X46" s="9" t="s">
        <v>2204</v>
      </c>
      <c r="Y46" s="9" t="s">
        <v>63</v>
      </c>
      <c r="Z46" s="9" t="s">
        <v>2203</v>
      </c>
      <c r="AA46" s="9" t="s">
        <v>2194</v>
      </c>
      <c r="AB46" s="8">
        <v>45839</v>
      </c>
    </row>
    <row r="47" spans="1:28" x14ac:dyDescent="0.3">
      <c r="A47" s="15">
        <v>46</v>
      </c>
      <c r="B47" s="13" t="s">
        <v>22</v>
      </c>
      <c r="C47" s="14">
        <v>45843.90625</v>
      </c>
      <c r="D47" s="14">
        <v>45844.28125</v>
      </c>
      <c r="E47" s="14">
        <v>45844.5625</v>
      </c>
      <c r="F47" s="13" t="s">
        <v>2202</v>
      </c>
      <c r="G47" s="13" t="s">
        <v>2201</v>
      </c>
      <c r="H47" s="13" t="s">
        <v>2199</v>
      </c>
      <c r="I47" s="13" t="s">
        <v>2200</v>
      </c>
      <c r="J47" s="13" t="s">
        <v>2200</v>
      </c>
      <c r="K47" s="13" t="s">
        <v>2199</v>
      </c>
      <c r="L47" s="13" t="s">
        <v>2198</v>
      </c>
      <c r="M47" s="13" t="s">
        <v>2197</v>
      </c>
      <c r="N47" s="13" t="s">
        <v>2196</v>
      </c>
      <c r="O47" s="13">
        <v>-3.5543960544319599</v>
      </c>
      <c r="P47" s="4">
        <f>O47/100</f>
        <v>-3.5543960544319603E-2</v>
      </c>
      <c r="Q47" s="5">
        <f>S46</f>
        <v>233.90227713232224</v>
      </c>
      <c r="R47" s="5">
        <f>Q47*P47*$T$1</f>
        <v>-12.470719964426657</v>
      </c>
      <c r="S47" s="5">
        <f>R47+Q47</f>
        <v>221.43155716789559</v>
      </c>
      <c r="T47" s="5"/>
      <c r="U47" s="4"/>
      <c r="V47" s="13"/>
      <c r="W47" s="13"/>
      <c r="X47" s="13" t="s">
        <v>2195</v>
      </c>
      <c r="Y47" s="13" t="s">
        <v>63</v>
      </c>
      <c r="Z47" s="13" t="s">
        <v>2194</v>
      </c>
      <c r="AA47" s="13" t="s">
        <v>2185</v>
      </c>
      <c r="AB47" s="12">
        <v>45839</v>
      </c>
    </row>
    <row r="48" spans="1:28" x14ac:dyDescent="0.3">
      <c r="A48" s="11">
        <v>47</v>
      </c>
      <c r="B48" s="9" t="s">
        <v>22</v>
      </c>
      <c r="C48" s="10">
        <v>45844.895833333336</v>
      </c>
      <c r="D48" s="10">
        <v>45845.041666666664</v>
      </c>
      <c r="E48" s="10">
        <v>45845.833333333336</v>
      </c>
      <c r="F48" s="9" t="s">
        <v>2193</v>
      </c>
      <c r="G48" s="9" t="s">
        <v>2192</v>
      </c>
      <c r="H48" s="9" t="s">
        <v>2190</v>
      </c>
      <c r="I48" s="9" t="s">
        <v>2191</v>
      </c>
      <c r="J48" s="9" t="s">
        <v>2191</v>
      </c>
      <c r="K48" s="9" t="s">
        <v>2190</v>
      </c>
      <c r="L48" s="9" t="s">
        <v>2189</v>
      </c>
      <c r="M48" s="9" t="s">
        <v>2188</v>
      </c>
      <c r="N48" s="9" t="s">
        <v>2187</v>
      </c>
      <c r="O48" s="9">
        <v>8</v>
      </c>
      <c r="P48" s="4">
        <f>O48/100</f>
        <v>0.08</v>
      </c>
      <c r="Q48" s="5">
        <f>S47</f>
        <v>221.43155716789559</v>
      </c>
      <c r="R48" s="5">
        <f>Q48*P48*$T$1</f>
        <v>26.571786860147469</v>
      </c>
      <c r="S48" s="5">
        <f>R48+Q48</f>
        <v>248.00334402804305</v>
      </c>
      <c r="T48" s="5"/>
      <c r="U48" s="4"/>
      <c r="V48" s="9"/>
      <c r="W48" s="9"/>
      <c r="X48" s="9" t="s">
        <v>2186</v>
      </c>
      <c r="Y48" s="9" t="s">
        <v>2</v>
      </c>
      <c r="Z48" s="9" t="s">
        <v>2185</v>
      </c>
      <c r="AA48" s="9" t="s">
        <v>2158</v>
      </c>
      <c r="AB48" s="8">
        <v>45839</v>
      </c>
    </row>
    <row r="49" spans="1:28" x14ac:dyDescent="0.3">
      <c r="A49" s="15">
        <v>48</v>
      </c>
      <c r="B49" s="13" t="s">
        <v>11</v>
      </c>
      <c r="C49" s="14">
        <v>45844.59375</v>
      </c>
      <c r="D49" s="14">
        <v>45845.708333333336</v>
      </c>
      <c r="E49" s="14">
        <v>45847.822916666664</v>
      </c>
      <c r="F49" s="13" t="s">
        <v>2184</v>
      </c>
      <c r="G49" s="13" t="s">
        <v>2183</v>
      </c>
      <c r="H49" s="13" t="s">
        <v>2181</v>
      </c>
      <c r="I49" s="13" t="s">
        <v>2182</v>
      </c>
      <c r="J49" s="13" t="s">
        <v>2182</v>
      </c>
      <c r="K49" s="13" t="s">
        <v>2181</v>
      </c>
      <c r="L49" s="13" t="s">
        <v>2180</v>
      </c>
      <c r="M49" s="13" t="s">
        <v>2179</v>
      </c>
      <c r="N49" s="13" t="s">
        <v>2178</v>
      </c>
      <c r="O49" s="13">
        <v>-6.1156942760401103</v>
      </c>
      <c r="P49" s="4">
        <f>O49/100</f>
        <v>-6.1156942760401102E-2</v>
      </c>
      <c r="Q49" s="5">
        <f>S48</f>
        <v>248.00334402804305</v>
      </c>
      <c r="R49" s="5">
        <f>Q49*P49*$T$1</f>
        <v>-22.750689472666636</v>
      </c>
      <c r="S49" s="5">
        <f>R49+Q49</f>
        <v>225.25265455537641</v>
      </c>
      <c r="T49" s="5"/>
      <c r="U49" s="4"/>
      <c r="V49" s="13"/>
      <c r="W49" s="13"/>
      <c r="X49" s="13" t="s">
        <v>2177</v>
      </c>
      <c r="Y49" s="13" t="s">
        <v>63</v>
      </c>
      <c r="Z49" s="13" t="s">
        <v>2176</v>
      </c>
      <c r="AA49" s="13" t="s">
        <v>2167</v>
      </c>
      <c r="AB49" s="12">
        <v>45839</v>
      </c>
    </row>
    <row r="50" spans="1:28" x14ac:dyDescent="0.3">
      <c r="A50" s="11">
        <v>49</v>
      </c>
      <c r="B50" s="9" t="s">
        <v>11</v>
      </c>
      <c r="C50" s="10">
        <v>45847.510416666664</v>
      </c>
      <c r="D50" s="10">
        <v>45847.59375</v>
      </c>
      <c r="E50" s="10">
        <v>45847.802083333336</v>
      </c>
      <c r="F50" s="9" t="s">
        <v>2175</v>
      </c>
      <c r="G50" s="9" t="s">
        <v>2174</v>
      </c>
      <c r="H50" s="9" t="s">
        <v>2172</v>
      </c>
      <c r="I50" s="9" t="s">
        <v>2173</v>
      </c>
      <c r="J50" s="9" t="s">
        <v>2173</v>
      </c>
      <c r="K50" s="9" t="s">
        <v>2172</v>
      </c>
      <c r="L50" s="9" t="s">
        <v>2171</v>
      </c>
      <c r="M50" s="9" t="s">
        <v>2170</v>
      </c>
      <c r="N50" s="9" t="s">
        <v>2169</v>
      </c>
      <c r="O50" s="9">
        <v>-1.0409807147147601</v>
      </c>
      <c r="P50" s="4">
        <f>O50/100</f>
        <v>-1.04098071471476E-2</v>
      </c>
      <c r="Q50" s="5">
        <f>S49</f>
        <v>225.25265455537641</v>
      </c>
      <c r="R50" s="5">
        <f>Q50*P50*$T$1</f>
        <v>-3.5172550399567899</v>
      </c>
      <c r="S50" s="5">
        <f>R50+Q50</f>
        <v>221.73539951541963</v>
      </c>
      <c r="T50" s="5"/>
      <c r="U50" s="4"/>
      <c r="V50" s="9"/>
      <c r="W50" s="9"/>
      <c r="X50" s="9" t="s">
        <v>2168</v>
      </c>
      <c r="Y50" s="9" t="s">
        <v>63</v>
      </c>
      <c r="Z50" s="9" t="s">
        <v>2167</v>
      </c>
      <c r="AA50" s="9" t="s">
        <v>2132</v>
      </c>
      <c r="AB50" s="8">
        <v>45839</v>
      </c>
    </row>
    <row r="51" spans="1:28" x14ac:dyDescent="0.3">
      <c r="A51" s="15">
        <v>50</v>
      </c>
      <c r="B51" s="13" t="s">
        <v>22</v>
      </c>
      <c r="C51" s="14">
        <v>45847.510416666664</v>
      </c>
      <c r="D51" s="14">
        <v>45847.625</v>
      </c>
      <c r="E51" s="14">
        <v>45847.666666666664</v>
      </c>
      <c r="F51" s="13" t="s">
        <v>2166</v>
      </c>
      <c r="G51" s="13" t="s">
        <v>2165</v>
      </c>
      <c r="H51" s="13" t="s">
        <v>2163</v>
      </c>
      <c r="I51" s="13" t="s">
        <v>2164</v>
      </c>
      <c r="J51" s="13" t="s">
        <v>2164</v>
      </c>
      <c r="K51" s="13" t="s">
        <v>2163</v>
      </c>
      <c r="L51" s="13" t="s">
        <v>2162</v>
      </c>
      <c r="M51" s="13" t="s">
        <v>2161</v>
      </c>
      <c r="N51" s="13" t="s">
        <v>2160</v>
      </c>
      <c r="O51" s="13">
        <v>-1.9274425047697501</v>
      </c>
      <c r="P51" s="4">
        <f>O51/100</f>
        <v>-1.92744250476975E-2</v>
      </c>
      <c r="Q51" s="5">
        <f>S50</f>
        <v>221.73539951541963</v>
      </c>
      <c r="R51" s="5">
        <f>Q51*P51*$T$1</f>
        <v>-6.410733507571825</v>
      </c>
      <c r="S51" s="5">
        <f>R51+Q51</f>
        <v>215.32466600784781</v>
      </c>
      <c r="T51" s="5"/>
      <c r="U51" s="4"/>
      <c r="V51" s="13"/>
      <c r="W51" s="13"/>
      <c r="X51" s="13" t="s">
        <v>2159</v>
      </c>
      <c r="Y51" s="13" t="s">
        <v>63</v>
      </c>
      <c r="Z51" s="13" t="s">
        <v>2158</v>
      </c>
      <c r="AA51" s="13" t="s">
        <v>1970</v>
      </c>
      <c r="AB51" s="12">
        <v>45839</v>
      </c>
    </row>
    <row r="52" spans="1:28" x14ac:dyDescent="0.3">
      <c r="A52" s="11">
        <v>51</v>
      </c>
      <c r="B52" s="9" t="s">
        <v>42</v>
      </c>
      <c r="C52" s="10">
        <v>45848.375</v>
      </c>
      <c r="D52" s="10">
        <v>45848.4375</v>
      </c>
      <c r="E52" s="10">
        <v>45848.708333333336</v>
      </c>
      <c r="F52" s="9" t="s">
        <v>2157</v>
      </c>
      <c r="G52" s="9" t="s">
        <v>2156</v>
      </c>
      <c r="H52" s="9" t="s">
        <v>2154</v>
      </c>
      <c r="I52" s="9" t="s">
        <v>2155</v>
      </c>
      <c r="J52" s="9" t="s">
        <v>2155</v>
      </c>
      <c r="K52" s="9" t="s">
        <v>2154</v>
      </c>
      <c r="L52" s="9" t="s">
        <v>2153</v>
      </c>
      <c r="M52" s="9" t="s">
        <v>2152</v>
      </c>
      <c r="N52" s="9" t="s">
        <v>2151</v>
      </c>
      <c r="O52" s="9">
        <v>-1.6283787488349</v>
      </c>
      <c r="P52" s="4">
        <f>O52/100</f>
        <v>-1.6283787488349001E-2</v>
      </c>
      <c r="Q52" s="5">
        <f>S51</f>
        <v>215.32466600784781</v>
      </c>
      <c r="R52" s="5">
        <f>Q52*P52*$T$1</f>
        <v>-5.2594516534072797</v>
      </c>
      <c r="S52" s="5">
        <f>R52+Q52</f>
        <v>210.06521435444054</v>
      </c>
      <c r="T52" s="5"/>
      <c r="U52" s="4"/>
      <c r="V52" s="9"/>
      <c r="W52" s="9"/>
      <c r="X52" s="9" t="s">
        <v>2150</v>
      </c>
      <c r="Y52" s="9" t="s">
        <v>63</v>
      </c>
      <c r="Z52" s="9" t="s">
        <v>2149</v>
      </c>
      <c r="AA52" s="9" t="s">
        <v>2123</v>
      </c>
      <c r="AB52" s="8">
        <v>45839</v>
      </c>
    </row>
    <row r="53" spans="1:28" x14ac:dyDescent="0.3">
      <c r="A53" s="15">
        <v>52</v>
      </c>
      <c r="B53" s="13" t="s">
        <v>108</v>
      </c>
      <c r="C53" s="14">
        <v>45848.895833333336</v>
      </c>
      <c r="D53" s="14">
        <v>45848.90625</v>
      </c>
      <c r="E53" s="14">
        <v>45849.072916666664</v>
      </c>
      <c r="F53" s="13" t="s">
        <v>2148</v>
      </c>
      <c r="G53" s="13" t="s">
        <v>2147</v>
      </c>
      <c r="H53" s="13" t="s">
        <v>2121</v>
      </c>
      <c r="I53" s="13" t="s">
        <v>2146</v>
      </c>
      <c r="J53" s="13" t="s">
        <v>2146</v>
      </c>
      <c r="K53" s="13" t="s">
        <v>2121</v>
      </c>
      <c r="L53" s="13" t="s">
        <v>2145</v>
      </c>
      <c r="M53" s="13" t="s">
        <v>2144</v>
      </c>
      <c r="N53" s="13" t="s">
        <v>2143</v>
      </c>
      <c r="O53" s="13">
        <v>-3.0970406056435</v>
      </c>
      <c r="P53" s="4">
        <f>O53/100</f>
        <v>-3.0970406056435001E-2</v>
      </c>
      <c r="Q53" s="5">
        <f>S52</f>
        <v>210.06521435444054</v>
      </c>
      <c r="R53" s="5">
        <f>Q53*P53*$T$1</f>
        <v>-9.7587074803336229</v>
      </c>
      <c r="S53" s="5">
        <f>R53+Q53</f>
        <v>200.30650687410693</v>
      </c>
      <c r="T53" s="5"/>
      <c r="U53" s="4"/>
      <c r="V53" s="13"/>
      <c r="W53" s="13"/>
      <c r="X53" s="13" t="s">
        <v>2142</v>
      </c>
      <c r="Y53" s="13" t="s">
        <v>63</v>
      </c>
      <c r="Z53" s="13" t="s">
        <v>2141</v>
      </c>
      <c r="AA53" s="13" t="s">
        <v>2114</v>
      </c>
      <c r="AB53" s="12">
        <v>45839</v>
      </c>
    </row>
    <row r="54" spans="1:28" x14ac:dyDescent="0.3">
      <c r="A54" s="11">
        <v>53</v>
      </c>
      <c r="B54" s="9" t="s">
        <v>11</v>
      </c>
      <c r="C54" s="10">
        <v>45849</v>
      </c>
      <c r="D54" s="10">
        <v>45849.010416666664</v>
      </c>
      <c r="E54" s="10">
        <v>45849.0625</v>
      </c>
      <c r="F54" s="9" t="s">
        <v>2140</v>
      </c>
      <c r="G54" s="9" t="s">
        <v>2139</v>
      </c>
      <c r="H54" s="9" t="s">
        <v>2137</v>
      </c>
      <c r="I54" s="9" t="s">
        <v>2138</v>
      </c>
      <c r="J54" s="9" t="s">
        <v>2138</v>
      </c>
      <c r="K54" s="9" t="s">
        <v>2137</v>
      </c>
      <c r="L54" s="9" t="s">
        <v>2136</v>
      </c>
      <c r="M54" s="9" t="s">
        <v>2135</v>
      </c>
      <c r="N54" s="9" t="s">
        <v>2134</v>
      </c>
      <c r="O54" s="9">
        <v>-0.85163966971615601</v>
      </c>
      <c r="P54" s="4">
        <f>O54/100</f>
        <v>-8.5163966971615601E-3</v>
      </c>
      <c r="Q54" s="5">
        <f>S53</f>
        <v>200.30650687410693</v>
      </c>
      <c r="R54" s="5">
        <f>Q54*P54*$T$1</f>
        <v>-2.5588345103439205</v>
      </c>
      <c r="S54" s="5">
        <f>R54+Q54</f>
        <v>197.747672363763</v>
      </c>
      <c r="T54" s="5"/>
      <c r="U54" s="4"/>
      <c r="V54" s="9"/>
      <c r="W54" s="9"/>
      <c r="X54" s="9" t="s">
        <v>2133</v>
      </c>
      <c r="Y54" s="9" t="s">
        <v>63</v>
      </c>
      <c r="Z54" s="9" t="s">
        <v>2132</v>
      </c>
      <c r="AA54" s="9" t="s">
        <v>2096</v>
      </c>
      <c r="AB54" s="8">
        <v>45839</v>
      </c>
    </row>
    <row r="55" spans="1:28" x14ac:dyDescent="0.3">
      <c r="A55" s="15">
        <v>54</v>
      </c>
      <c r="B55" s="13" t="s">
        <v>42</v>
      </c>
      <c r="C55" s="14">
        <v>45848.989583333336</v>
      </c>
      <c r="D55" s="14">
        <v>45849.104166666664</v>
      </c>
      <c r="E55" s="14">
        <v>45849.15625</v>
      </c>
      <c r="F55" s="13" t="s">
        <v>2131</v>
      </c>
      <c r="G55" s="13" t="s">
        <v>2130</v>
      </c>
      <c r="H55" s="13" t="s">
        <v>2128</v>
      </c>
      <c r="I55" s="13" t="s">
        <v>2129</v>
      </c>
      <c r="J55" s="13" t="s">
        <v>2129</v>
      </c>
      <c r="K55" s="13" t="s">
        <v>2128</v>
      </c>
      <c r="L55" s="13" t="s">
        <v>2127</v>
      </c>
      <c r="M55" s="13" t="s">
        <v>2126</v>
      </c>
      <c r="N55" s="13" t="s">
        <v>2125</v>
      </c>
      <c r="O55" s="13">
        <v>-0.59056605810652196</v>
      </c>
      <c r="P55" s="4">
        <f>O55/100</f>
        <v>-5.9056605810652195E-3</v>
      </c>
      <c r="Q55" s="5">
        <f>S54</f>
        <v>197.747672363763</v>
      </c>
      <c r="R55" s="5">
        <f>Q55*P55*$T$1</f>
        <v>-1.7517459505141129</v>
      </c>
      <c r="S55" s="5">
        <f>R55+Q55</f>
        <v>195.9959264132489</v>
      </c>
      <c r="T55" s="5"/>
      <c r="U55" s="4"/>
      <c r="V55" s="13"/>
      <c r="W55" s="13"/>
      <c r="X55" s="13" t="s">
        <v>2124</v>
      </c>
      <c r="Y55" s="13" t="s">
        <v>63</v>
      </c>
      <c r="Z55" s="13" t="s">
        <v>2123</v>
      </c>
      <c r="AA55" s="13" t="s">
        <v>2105</v>
      </c>
      <c r="AB55" s="12">
        <v>45839</v>
      </c>
    </row>
    <row r="56" spans="1:28" x14ac:dyDescent="0.3">
      <c r="A56" s="11">
        <v>55</v>
      </c>
      <c r="B56" s="9" t="s">
        <v>108</v>
      </c>
      <c r="C56" s="10">
        <v>45849.21875</v>
      </c>
      <c r="D56" s="10">
        <v>45849.302083333336</v>
      </c>
      <c r="E56" s="10">
        <v>45850.197916666664</v>
      </c>
      <c r="F56" s="9" t="s">
        <v>2122</v>
      </c>
      <c r="G56" s="9" t="s">
        <v>2121</v>
      </c>
      <c r="H56" s="9" t="s">
        <v>2119</v>
      </c>
      <c r="I56" s="9" t="s">
        <v>2120</v>
      </c>
      <c r="J56" s="9" t="s">
        <v>2120</v>
      </c>
      <c r="K56" s="9" t="s">
        <v>2119</v>
      </c>
      <c r="L56" s="9" t="s">
        <v>2118</v>
      </c>
      <c r="M56" s="9" t="s">
        <v>2117</v>
      </c>
      <c r="N56" s="9" t="s">
        <v>2116</v>
      </c>
      <c r="O56" s="9">
        <v>10</v>
      </c>
      <c r="P56" s="4">
        <f>O56/100</f>
        <v>0.1</v>
      </c>
      <c r="Q56" s="5">
        <f>S55</f>
        <v>195.9959264132489</v>
      </c>
      <c r="R56" s="5">
        <f>Q56*P56*$T$1</f>
        <v>29.399388961987334</v>
      </c>
      <c r="S56" s="5">
        <f>R56+Q56</f>
        <v>225.39531537523624</v>
      </c>
      <c r="T56" s="5"/>
      <c r="U56" s="4"/>
      <c r="V56" s="9"/>
      <c r="W56" s="9"/>
      <c r="X56" s="9" t="s">
        <v>2115</v>
      </c>
      <c r="Y56" s="9" t="s">
        <v>2</v>
      </c>
      <c r="Z56" s="9" t="s">
        <v>2114</v>
      </c>
      <c r="AA56" s="9" t="s">
        <v>2078</v>
      </c>
      <c r="AB56" s="8">
        <v>45839</v>
      </c>
    </row>
    <row r="57" spans="1:28" x14ac:dyDescent="0.3">
      <c r="A57" s="15">
        <v>56</v>
      </c>
      <c r="B57" s="13" t="s">
        <v>42</v>
      </c>
      <c r="C57" s="14">
        <v>45849.25</v>
      </c>
      <c r="D57" s="14">
        <v>45849.3125</v>
      </c>
      <c r="E57" s="14">
        <v>45849.927083333336</v>
      </c>
      <c r="F57" s="13" t="s">
        <v>2113</v>
      </c>
      <c r="G57" s="13" t="s">
        <v>2112</v>
      </c>
      <c r="H57" s="13" t="s">
        <v>2110</v>
      </c>
      <c r="I57" s="13" t="s">
        <v>2111</v>
      </c>
      <c r="J57" s="13" t="s">
        <v>2111</v>
      </c>
      <c r="K57" s="13" t="s">
        <v>2110</v>
      </c>
      <c r="L57" s="13" t="s">
        <v>2109</v>
      </c>
      <c r="M57" s="13" t="s">
        <v>2108</v>
      </c>
      <c r="N57" s="13" t="s">
        <v>2107</v>
      </c>
      <c r="O57" s="13">
        <v>8</v>
      </c>
      <c r="P57" s="4">
        <f>O57/100</f>
        <v>0.08</v>
      </c>
      <c r="Q57" s="5">
        <f>S56</f>
        <v>225.39531537523624</v>
      </c>
      <c r="R57" s="5">
        <f>Q57*P57*$T$1</f>
        <v>27.047437845028348</v>
      </c>
      <c r="S57" s="5">
        <f>R57+Q57</f>
        <v>252.44275322026459</v>
      </c>
      <c r="T57" s="5"/>
      <c r="U57" s="4"/>
      <c r="V57" s="13"/>
      <c r="W57" s="13"/>
      <c r="X57" s="13" t="s">
        <v>2106</v>
      </c>
      <c r="Y57" s="13" t="s">
        <v>2</v>
      </c>
      <c r="Z57" s="13" t="s">
        <v>2105</v>
      </c>
      <c r="AA57" s="13" t="s">
        <v>2087</v>
      </c>
      <c r="AB57" s="12">
        <v>45839</v>
      </c>
    </row>
    <row r="58" spans="1:28" x14ac:dyDescent="0.3">
      <c r="A58" s="11">
        <v>57</v>
      </c>
      <c r="B58" s="9" t="s">
        <v>11</v>
      </c>
      <c r="C58" s="10">
        <v>45849.604166666664</v>
      </c>
      <c r="D58" s="10">
        <v>45849.927083333336</v>
      </c>
      <c r="E58" s="10">
        <v>45854.885416666664</v>
      </c>
      <c r="F58" s="9" t="s">
        <v>2104</v>
      </c>
      <c r="G58" s="9" t="s">
        <v>2103</v>
      </c>
      <c r="H58" s="9" t="s">
        <v>2101</v>
      </c>
      <c r="I58" s="9" t="s">
        <v>2102</v>
      </c>
      <c r="J58" s="9" t="s">
        <v>2102</v>
      </c>
      <c r="K58" s="9" t="s">
        <v>2101</v>
      </c>
      <c r="L58" s="9" t="s">
        <v>2100</v>
      </c>
      <c r="M58" s="9" t="s">
        <v>2099</v>
      </c>
      <c r="N58" s="9" t="s">
        <v>2098</v>
      </c>
      <c r="O58" s="9">
        <v>-6.8687405451966299</v>
      </c>
      <c r="P58" s="4">
        <f>O58/100</f>
        <v>-6.8687405451966305E-2</v>
      </c>
      <c r="Q58" s="5">
        <f>S57</f>
        <v>252.44275322026459</v>
      </c>
      <c r="R58" s="5">
        <f>Q58*P58*$T$1</f>
        <v>-26.009456615776479</v>
      </c>
      <c r="S58" s="5">
        <f>R58+Q58</f>
        <v>226.43329660448811</v>
      </c>
      <c r="T58" s="5"/>
      <c r="U58" s="4"/>
      <c r="V58" s="9"/>
      <c r="W58" s="9"/>
      <c r="X58" s="9" t="s">
        <v>2097</v>
      </c>
      <c r="Y58" s="9" t="s">
        <v>63</v>
      </c>
      <c r="Z58" s="9" t="s">
        <v>2096</v>
      </c>
      <c r="AA58" s="9" t="s">
        <v>2069</v>
      </c>
      <c r="AB58" s="8">
        <v>45839</v>
      </c>
    </row>
    <row r="59" spans="1:28" x14ac:dyDescent="0.3">
      <c r="A59" s="15">
        <v>58</v>
      </c>
      <c r="B59" s="13" t="s">
        <v>42</v>
      </c>
      <c r="C59" s="14">
        <v>45850.791666666664</v>
      </c>
      <c r="D59" s="14">
        <v>45851.3125</v>
      </c>
      <c r="E59" s="14">
        <v>45851.802083333336</v>
      </c>
      <c r="F59" s="13" t="s">
        <v>2095</v>
      </c>
      <c r="G59" s="13" t="s">
        <v>2094</v>
      </c>
      <c r="H59" s="13" t="s">
        <v>2092</v>
      </c>
      <c r="I59" s="13" t="s">
        <v>2093</v>
      </c>
      <c r="J59" s="13" t="s">
        <v>2093</v>
      </c>
      <c r="K59" s="13" t="s">
        <v>2092</v>
      </c>
      <c r="L59" s="13" t="s">
        <v>2091</v>
      </c>
      <c r="M59" s="13" t="s">
        <v>2090</v>
      </c>
      <c r="N59" s="13" t="s">
        <v>2089</v>
      </c>
      <c r="O59" s="13">
        <v>-4.6061659500503103</v>
      </c>
      <c r="P59" s="4">
        <f>O59/100</f>
        <v>-4.6061659500503102E-2</v>
      </c>
      <c r="Q59" s="5">
        <f>S58</f>
        <v>226.43329660448811</v>
      </c>
      <c r="R59" s="5">
        <f>Q59*P59*$T$1</f>
        <v>-15.644840111658535</v>
      </c>
      <c r="S59" s="5">
        <f>R59+Q59</f>
        <v>210.78845649282957</v>
      </c>
      <c r="T59" s="5"/>
      <c r="U59" s="4"/>
      <c r="V59" s="13"/>
      <c r="W59" s="13"/>
      <c r="X59" s="13" t="s">
        <v>2088</v>
      </c>
      <c r="Y59" s="13" t="s">
        <v>63</v>
      </c>
      <c r="Z59" s="13" t="s">
        <v>2087</v>
      </c>
      <c r="AA59" s="13" t="s">
        <v>2060</v>
      </c>
      <c r="AB59" s="12">
        <v>45839</v>
      </c>
    </row>
    <row r="60" spans="1:28" x14ac:dyDescent="0.3">
      <c r="A60" s="11">
        <v>59</v>
      </c>
      <c r="B60" s="9" t="s">
        <v>108</v>
      </c>
      <c r="C60" s="10">
        <v>45851.03125</v>
      </c>
      <c r="D60" s="10">
        <v>45851.385416666664</v>
      </c>
      <c r="E60" s="10">
        <v>45853.65625</v>
      </c>
      <c r="F60" s="9" t="s">
        <v>2086</v>
      </c>
      <c r="G60" s="9" t="s">
        <v>2085</v>
      </c>
      <c r="H60" s="9" t="s">
        <v>2083</v>
      </c>
      <c r="I60" s="9" t="s">
        <v>2084</v>
      </c>
      <c r="J60" s="9" t="s">
        <v>2084</v>
      </c>
      <c r="K60" s="9" t="s">
        <v>2083</v>
      </c>
      <c r="L60" s="9" t="s">
        <v>2082</v>
      </c>
      <c r="M60" s="9" t="s">
        <v>2081</v>
      </c>
      <c r="N60" s="9" t="s">
        <v>2080</v>
      </c>
      <c r="O60" s="9">
        <v>-8.79493223335297</v>
      </c>
      <c r="P60" s="4">
        <f>O60/100</f>
        <v>-8.79493223335297E-2</v>
      </c>
      <c r="Q60" s="5">
        <f>S59</f>
        <v>210.78845649282957</v>
      </c>
      <c r="R60" s="5">
        <f>Q60*P60*$T$1</f>
        <v>-27.808052856412601</v>
      </c>
      <c r="S60" s="5">
        <f>R60+Q60</f>
        <v>182.98040363641695</v>
      </c>
      <c r="T60" s="5"/>
      <c r="U60" s="4"/>
      <c r="V60" s="9"/>
      <c r="W60" s="9"/>
      <c r="X60" s="9" t="s">
        <v>2079</v>
      </c>
      <c r="Y60" s="9" t="s">
        <v>63</v>
      </c>
      <c r="Z60" s="9" t="s">
        <v>2078</v>
      </c>
      <c r="AA60" s="9" t="s">
        <v>2033</v>
      </c>
      <c r="AB60" s="8">
        <v>45839</v>
      </c>
    </row>
    <row r="61" spans="1:28" x14ac:dyDescent="0.3">
      <c r="A61" s="15">
        <v>60</v>
      </c>
      <c r="B61" s="13" t="s">
        <v>11</v>
      </c>
      <c r="C61" s="14">
        <v>45851.59375</v>
      </c>
      <c r="D61" s="14">
        <v>45851.697916666664</v>
      </c>
      <c r="E61" s="14">
        <v>45852.145833333336</v>
      </c>
      <c r="F61" s="13" t="s">
        <v>2077</v>
      </c>
      <c r="G61" s="13" t="s">
        <v>2076</v>
      </c>
      <c r="H61" s="13" t="s">
        <v>2074</v>
      </c>
      <c r="I61" s="13" t="s">
        <v>2075</v>
      </c>
      <c r="J61" s="13" t="s">
        <v>2075</v>
      </c>
      <c r="K61" s="13" t="s">
        <v>2074</v>
      </c>
      <c r="L61" s="13" t="s">
        <v>2073</v>
      </c>
      <c r="M61" s="13" t="s">
        <v>2072</v>
      </c>
      <c r="N61" s="13" t="s">
        <v>2071</v>
      </c>
      <c r="O61" s="13">
        <v>-2.1148355866513602</v>
      </c>
      <c r="P61" s="4">
        <f>O61/100</f>
        <v>-2.1148355866513601E-2</v>
      </c>
      <c r="Q61" s="5">
        <f>S60</f>
        <v>182.98040363641695</v>
      </c>
      <c r="R61" s="5">
        <f>Q61*P61*$T$1</f>
        <v>-5.8046020390518676</v>
      </c>
      <c r="S61" s="5">
        <f>R61+Q61</f>
        <v>177.17580159736508</v>
      </c>
      <c r="T61" s="5"/>
      <c r="U61" s="4"/>
      <c r="V61" s="13"/>
      <c r="W61" s="13"/>
      <c r="X61" s="13" t="s">
        <v>2070</v>
      </c>
      <c r="Y61" s="13" t="s">
        <v>63</v>
      </c>
      <c r="Z61" s="13" t="s">
        <v>2069</v>
      </c>
      <c r="AA61" s="13" t="s">
        <v>2051</v>
      </c>
      <c r="AB61" s="12">
        <v>45839</v>
      </c>
    </row>
    <row r="62" spans="1:28" x14ac:dyDescent="0.3">
      <c r="A62" s="11">
        <v>61</v>
      </c>
      <c r="B62" s="9" t="s">
        <v>42</v>
      </c>
      <c r="C62" s="10">
        <v>45851.84375</v>
      </c>
      <c r="D62" s="10">
        <v>45852.020833333336</v>
      </c>
      <c r="E62" s="10">
        <v>45852.0625</v>
      </c>
      <c r="F62" s="9" t="s">
        <v>2068</v>
      </c>
      <c r="G62" s="9" t="s">
        <v>2067</v>
      </c>
      <c r="H62" s="9" t="s">
        <v>2065</v>
      </c>
      <c r="I62" s="9" t="s">
        <v>2066</v>
      </c>
      <c r="J62" s="9" t="s">
        <v>2066</v>
      </c>
      <c r="K62" s="9" t="s">
        <v>2065</v>
      </c>
      <c r="L62" s="9" t="s">
        <v>2064</v>
      </c>
      <c r="M62" s="9" t="s">
        <v>2063</v>
      </c>
      <c r="N62" s="9" t="s">
        <v>2062</v>
      </c>
      <c r="O62" s="9">
        <v>-2.2641737496497298</v>
      </c>
      <c r="P62" s="4">
        <f>O62/100</f>
        <v>-2.2641737496497297E-2</v>
      </c>
      <c r="Q62" s="5">
        <f>S61</f>
        <v>177.17580159736508</v>
      </c>
      <c r="R62" s="5">
        <f>Q62*P62*$T$1</f>
        <v>-6.0173519857485394</v>
      </c>
      <c r="S62" s="5">
        <f>R62+Q62</f>
        <v>171.15844961161653</v>
      </c>
      <c r="T62" s="5"/>
      <c r="U62" s="4"/>
      <c r="V62" s="9"/>
      <c r="W62" s="9"/>
      <c r="X62" s="9" t="s">
        <v>2061</v>
      </c>
      <c r="Y62" s="9" t="s">
        <v>63</v>
      </c>
      <c r="Z62" s="9" t="s">
        <v>2060</v>
      </c>
      <c r="AA62" s="9" t="s">
        <v>2042</v>
      </c>
      <c r="AB62" s="8">
        <v>45839</v>
      </c>
    </row>
    <row r="63" spans="1:28" x14ac:dyDescent="0.3">
      <c r="A63" s="15">
        <v>62</v>
      </c>
      <c r="B63" s="13" t="s">
        <v>11</v>
      </c>
      <c r="C63" s="14">
        <v>45852.21875</v>
      </c>
      <c r="D63" s="14">
        <v>45852.239583333336</v>
      </c>
      <c r="E63" s="14">
        <v>45853.052083333336</v>
      </c>
      <c r="F63" s="13" t="s">
        <v>2059</v>
      </c>
      <c r="G63" s="13" t="s">
        <v>2058</v>
      </c>
      <c r="H63" s="13" t="s">
        <v>2056</v>
      </c>
      <c r="I63" s="13" t="s">
        <v>2057</v>
      </c>
      <c r="J63" s="13" t="s">
        <v>2057</v>
      </c>
      <c r="K63" s="13" t="s">
        <v>2056</v>
      </c>
      <c r="L63" s="13" t="s">
        <v>2055</v>
      </c>
      <c r="M63" s="13" t="s">
        <v>2054</v>
      </c>
      <c r="N63" s="13" t="s">
        <v>2053</v>
      </c>
      <c r="O63" s="13">
        <v>6</v>
      </c>
      <c r="P63" s="4">
        <f>O63/100</f>
        <v>0.06</v>
      </c>
      <c r="Q63" s="5">
        <f>S62</f>
        <v>171.15844961161653</v>
      </c>
      <c r="R63" s="5">
        <f>Q63*P63*$T$1</f>
        <v>15.404260465045487</v>
      </c>
      <c r="S63" s="5">
        <f>R63+Q63</f>
        <v>186.56271007666203</v>
      </c>
      <c r="T63" s="5"/>
      <c r="U63" s="4"/>
      <c r="V63" s="13"/>
      <c r="W63" s="13"/>
      <c r="X63" s="13" t="s">
        <v>2052</v>
      </c>
      <c r="Y63" s="13" t="s">
        <v>2</v>
      </c>
      <c r="Z63" s="13" t="s">
        <v>2051</v>
      </c>
      <c r="AA63" s="13" t="s">
        <v>2015</v>
      </c>
      <c r="AB63" s="12">
        <v>45839</v>
      </c>
    </row>
    <row r="64" spans="1:28" x14ac:dyDescent="0.3">
      <c r="A64" s="11">
        <v>63</v>
      </c>
      <c r="B64" s="9" t="s">
        <v>42</v>
      </c>
      <c r="C64" s="10">
        <v>45852.21875</v>
      </c>
      <c r="D64" s="10">
        <v>45852.333333333336</v>
      </c>
      <c r="E64" s="10">
        <v>45853.020833333336</v>
      </c>
      <c r="F64" s="9" t="s">
        <v>2050</v>
      </c>
      <c r="G64" s="9" t="s">
        <v>2049</v>
      </c>
      <c r="H64" s="9" t="s">
        <v>2047</v>
      </c>
      <c r="I64" s="9" t="s">
        <v>2048</v>
      </c>
      <c r="J64" s="9" t="s">
        <v>2048</v>
      </c>
      <c r="K64" s="9" t="s">
        <v>2047</v>
      </c>
      <c r="L64" s="9" t="s">
        <v>2046</v>
      </c>
      <c r="M64" s="9" t="s">
        <v>2045</v>
      </c>
      <c r="N64" s="9" t="s">
        <v>2044</v>
      </c>
      <c r="O64" s="9">
        <v>8</v>
      </c>
      <c r="P64" s="4">
        <f>O64/100</f>
        <v>0.08</v>
      </c>
      <c r="Q64" s="5">
        <f>S63</f>
        <v>186.56271007666203</v>
      </c>
      <c r="R64" s="5">
        <f>Q64*P64*$T$1</f>
        <v>22.387525209199445</v>
      </c>
      <c r="S64" s="5">
        <f>R64+Q64</f>
        <v>208.95023528586148</v>
      </c>
      <c r="T64" s="5"/>
      <c r="U64" s="4"/>
      <c r="V64" s="9"/>
      <c r="W64" s="9"/>
      <c r="X64" s="9" t="s">
        <v>2043</v>
      </c>
      <c r="Y64" s="9" t="s">
        <v>2</v>
      </c>
      <c r="Z64" s="9" t="s">
        <v>2042</v>
      </c>
      <c r="AA64" s="9" t="s">
        <v>2024</v>
      </c>
      <c r="AB64" s="8">
        <v>45839</v>
      </c>
    </row>
    <row r="65" spans="1:28" x14ac:dyDescent="0.3">
      <c r="A65" s="15">
        <v>64</v>
      </c>
      <c r="B65" s="13" t="s">
        <v>108</v>
      </c>
      <c r="C65" s="14">
        <v>45853.59375</v>
      </c>
      <c r="D65" s="14">
        <v>45853.645833333336</v>
      </c>
      <c r="E65" s="14">
        <v>45853.65625</v>
      </c>
      <c r="F65" s="13" t="s">
        <v>2041</v>
      </c>
      <c r="G65" s="13" t="s">
        <v>2040</v>
      </c>
      <c r="H65" s="13" t="s">
        <v>2038</v>
      </c>
      <c r="I65" s="13" t="s">
        <v>2039</v>
      </c>
      <c r="J65" s="13" t="s">
        <v>2039</v>
      </c>
      <c r="K65" s="13" t="s">
        <v>2038</v>
      </c>
      <c r="L65" s="13" t="s">
        <v>2037</v>
      </c>
      <c r="M65" s="13" t="s">
        <v>2036</v>
      </c>
      <c r="N65" s="13" t="s">
        <v>2035</v>
      </c>
      <c r="O65" s="13">
        <v>-1.37318255250403</v>
      </c>
      <c r="P65" s="4">
        <f>O65/100</f>
        <v>-1.3731825525040299E-2</v>
      </c>
      <c r="Q65" s="5">
        <f>S64</f>
        <v>208.95023528586148</v>
      </c>
      <c r="R65" s="5">
        <f>Q65*P65*$T$1</f>
        <v>-4.303902261542353</v>
      </c>
      <c r="S65" s="5">
        <f>R65+Q65</f>
        <v>204.64633302431912</v>
      </c>
      <c r="T65" s="5"/>
      <c r="U65" s="4"/>
      <c r="V65" s="13"/>
      <c r="W65" s="13"/>
      <c r="X65" s="13" t="s">
        <v>2034</v>
      </c>
      <c r="Y65" s="13" t="s">
        <v>63</v>
      </c>
      <c r="Z65" s="13" t="s">
        <v>2033</v>
      </c>
      <c r="AA65" s="13" t="s">
        <v>1997</v>
      </c>
      <c r="AB65" s="12">
        <v>45839</v>
      </c>
    </row>
    <row r="66" spans="1:28" x14ac:dyDescent="0.3">
      <c r="A66" s="11">
        <v>65</v>
      </c>
      <c r="B66" s="9" t="s">
        <v>42</v>
      </c>
      <c r="C66" s="10">
        <v>45854.770833333336</v>
      </c>
      <c r="D66" s="10">
        <v>45854.84375</v>
      </c>
      <c r="E66" s="10">
        <v>45854.885416666664</v>
      </c>
      <c r="F66" s="9" t="s">
        <v>2032</v>
      </c>
      <c r="G66" s="9" t="s">
        <v>2031</v>
      </c>
      <c r="H66" s="9" t="s">
        <v>2029</v>
      </c>
      <c r="I66" s="9" t="s">
        <v>2030</v>
      </c>
      <c r="J66" s="9" t="s">
        <v>2030</v>
      </c>
      <c r="K66" s="9" t="s">
        <v>2029</v>
      </c>
      <c r="L66" s="9" t="s">
        <v>2028</v>
      </c>
      <c r="M66" s="9" t="s">
        <v>2027</v>
      </c>
      <c r="N66" s="9" t="s">
        <v>2026</v>
      </c>
      <c r="O66" s="9">
        <v>-2.7087102888038199</v>
      </c>
      <c r="P66" s="4">
        <f>O66/100</f>
        <v>-2.70871028880382E-2</v>
      </c>
      <c r="Q66" s="5">
        <f>S65</f>
        <v>204.64633302431912</v>
      </c>
      <c r="R66" s="5">
        <f>Q66*P66*$T$1</f>
        <v>-8.314914417434192</v>
      </c>
      <c r="S66" s="5">
        <f>R66+Q66</f>
        <v>196.33141860688494</v>
      </c>
      <c r="T66" s="5"/>
      <c r="U66" s="4"/>
      <c r="V66" s="9"/>
      <c r="W66" s="9"/>
      <c r="X66" s="9" t="s">
        <v>2025</v>
      </c>
      <c r="Y66" s="9" t="s">
        <v>63</v>
      </c>
      <c r="Z66" s="9" t="s">
        <v>2024</v>
      </c>
      <c r="AA66" s="9" t="s">
        <v>2006</v>
      </c>
      <c r="AB66" s="8">
        <v>45839</v>
      </c>
    </row>
    <row r="67" spans="1:28" x14ac:dyDescent="0.3">
      <c r="A67" s="15">
        <v>66</v>
      </c>
      <c r="B67" s="13" t="s">
        <v>11</v>
      </c>
      <c r="C67" s="14">
        <v>45854.885416666664</v>
      </c>
      <c r="D67" s="14">
        <v>45855.135416666664</v>
      </c>
      <c r="E67" s="14">
        <v>45855.947916666664</v>
      </c>
      <c r="F67" s="13" t="s">
        <v>2023</v>
      </c>
      <c r="G67" s="13" t="s">
        <v>2022</v>
      </c>
      <c r="H67" s="13" t="s">
        <v>2020</v>
      </c>
      <c r="I67" s="13" t="s">
        <v>2021</v>
      </c>
      <c r="J67" s="13" t="s">
        <v>2021</v>
      </c>
      <c r="K67" s="13" t="s">
        <v>2020</v>
      </c>
      <c r="L67" s="13" t="s">
        <v>2019</v>
      </c>
      <c r="M67" s="13" t="s">
        <v>2018</v>
      </c>
      <c r="N67" s="13" t="s">
        <v>2017</v>
      </c>
      <c r="O67" s="13">
        <v>-5.1205775270375797</v>
      </c>
      <c r="P67" s="4">
        <f>O67/100</f>
        <v>-5.12057752703758E-2</v>
      </c>
      <c r="Q67" s="5">
        <f>S66</f>
        <v>196.33141860688494</v>
      </c>
      <c r="R67" s="5">
        <f>Q67*P67*$T$1</f>
        <v>-15.079953749547343</v>
      </c>
      <c r="S67" s="5">
        <f>R67+Q67</f>
        <v>181.2514648573376</v>
      </c>
      <c r="T67" s="5"/>
      <c r="U67" s="4"/>
      <c r="V67" s="13"/>
      <c r="W67" s="13"/>
      <c r="X67" s="13" t="s">
        <v>2016</v>
      </c>
      <c r="Y67" s="13" t="s">
        <v>63</v>
      </c>
      <c r="Z67" s="13" t="s">
        <v>2015</v>
      </c>
      <c r="AA67" s="13" t="s">
        <v>1979</v>
      </c>
      <c r="AB67" s="12">
        <v>45839</v>
      </c>
    </row>
    <row r="68" spans="1:28" x14ac:dyDescent="0.3">
      <c r="A68" s="11">
        <v>67</v>
      </c>
      <c r="B68" s="9" t="s">
        <v>42</v>
      </c>
      <c r="C68" s="10">
        <v>45855.020833333336</v>
      </c>
      <c r="D68" s="10">
        <v>45855.229166666664</v>
      </c>
      <c r="E68" s="10">
        <v>45855.375</v>
      </c>
      <c r="F68" s="9" t="s">
        <v>2014</v>
      </c>
      <c r="G68" s="9" t="s">
        <v>2013</v>
      </c>
      <c r="H68" s="9" t="s">
        <v>2011</v>
      </c>
      <c r="I68" s="9" t="s">
        <v>2012</v>
      </c>
      <c r="J68" s="9" t="s">
        <v>2012</v>
      </c>
      <c r="K68" s="9" t="s">
        <v>2011</v>
      </c>
      <c r="L68" s="9" t="s">
        <v>2010</v>
      </c>
      <c r="M68" s="9" t="s">
        <v>2009</v>
      </c>
      <c r="N68" s="9" t="s">
        <v>2008</v>
      </c>
      <c r="O68" s="9">
        <v>-7.0226248061537699</v>
      </c>
      <c r="P68" s="4">
        <f>O68/100</f>
        <v>-7.0226248061537697E-2</v>
      </c>
      <c r="Q68" s="5">
        <f>S67</f>
        <v>181.2514648573376</v>
      </c>
      <c r="R68" s="5">
        <f>Q68*P68*$T$1</f>
        <v>-19.092915498882707</v>
      </c>
      <c r="S68" s="5">
        <f>R68+Q68</f>
        <v>162.15854935845488</v>
      </c>
      <c r="T68" s="5"/>
      <c r="U68" s="4"/>
      <c r="V68" s="9"/>
      <c r="W68" s="9"/>
      <c r="X68" s="9" t="s">
        <v>2007</v>
      </c>
      <c r="Y68" s="9" t="s">
        <v>63</v>
      </c>
      <c r="Z68" s="9" t="s">
        <v>2006</v>
      </c>
      <c r="AA68" s="9" t="s">
        <v>1988</v>
      </c>
      <c r="AB68" s="8">
        <v>45839</v>
      </c>
    </row>
    <row r="69" spans="1:28" x14ac:dyDescent="0.3">
      <c r="A69" s="15">
        <v>68</v>
      </c>
      <c r="B69" s="13" t="s">
        <v>108</v>
      </c>
      <c r="C69" s="14">
        <v>45855.104166666664</v>
      </c>
      <c r="D69" s="14">
        <v>45855.260416666664</v>
      </c>
      <c r="E69" s="14">
        <v>45855.385416666664</v>
      </c>
      <c r="F69" s="13" t="s">
        <v>2005</v>
      </c>
      <c r="G69" s="13" t="s">
        <v>2004</v>
      </c>
      <c r="H69" s="13" t="s">
        <v>2002</v>
      </c>
      <c r="I69" s="13" t="s">
        <v>2003</v>
      </c>
      <c r="J69" s="13" t="s">
        <v>2003</v>
      </c>
      <c r="K69" s="13" t="s">
        <v>2002</v>
      </c>
      <c r="L69" s="13" t="s">
        <v>2001</v>
      </c>
      <c r="M69" s="13" t="s">
        <v>2000</v>
      </c>
      <c r="N69" s="13" t="s">
        <v>1999</v>
      </c>
      <c r="O69" s="13">
        <v>-3.0986836726350901</v>
      </c>
      <c r="P69" s="4">
        <f>O69/100</f>
        <v>-3.09868367263509E-2</v>
      </c>
      <c r="Q69" s="5">
        <f>S68</f>
        <v>162.15854935845488</v>
      </c>
      <c r="R69" s="5">
        <f>Q69*P69*$T$1</f>
        <v>-7.5371707391285323</v>
      </c>
      <c r="S69" s="5">
        <f>R69+Q69</f>
        <v>154.62137861932635</v>
      </c>
      <c r="T69" s="5"/>
      <c r="U69" s="4"/>
      <c r="V69" s="13"/>
      <c r="W69" s="13"/>
      <c r="X69" s="13" t="s">
        <v>1998</v>
      </c>
      <c r="Y69" s="13" t="s">
        <v>63</v>
      </c>
      <c r="Z69" s="13" t="s">
        <v>1997</v>
      </c>
      <c r="AA69" s="13" t="s">
        <v>1925</v>
      </c>
      <c r="AB69" s="12">
        <v>45839</v>
      </c>
    </row>
    <row r="70" spans="1:28" x14ac:dyDescent="0.3">
      <c r="A70" s="11">
        <v>69</v>
      </c>
      <c r="B70" s="9" t="s">
        <v>42</v>
      </c>
      <c r="C70" s="10">
        <v>45855.395833333336</v>
      </c>
      <c r="D70" s="10">
        <v>45856.041666666664</v>
      </c>
      <c r="E70" s="10">
        <v>45856.84375</v>
      </c>
      <c r="F70" s="9" t="s">
        <v>1996</v>
      </c>
      <c r="G70" s="9" t="s">
        <v>1995</v>
      </c>
      <c r="H70" s="9" t="s">
        <v>1993</v>
      </c>
      <c r="I70" s="9" t="s">
        <v>1994</v>
      </c>
      <c r="J70" s="9" t="s">
        <v>1994</v>
      </c>
      <c r="K70" s="9" t="s">
        <v>1993</v>
      </c>
      <c r="L70" s="9" t="s">
        <v>1992</v>
      </c>
      <c r="M70" s="9" t="s">
        <v>1991</v>
      </c>
      <c r="N70" s="9" t="s">
        <v>1990</v>
      </c>
      <c r="O70" s="9">
        <v>8</v>
      </c>
      <c r="P70" s="4">
        <f>O70/100</f>
        <v>0.08</v>
      </c>
      <c r="Q70" s="5">
        <f>S69</f>
        <v>154.62137861932635</v>
      </c>
      <c r="R70" s="5">
        <f>Q70*P70*$T$1</f>
        <v>18.554565434319162</v>
      </c>
      <c r="S70" s="5">
        <f>R70+Q70</f>
        <v>173.17594405364551</v>
      </c>
      <c r="T70" s="5"/>
      <c r="U70" s="4"/>
      <c r="V70" s="9"/>
      <c r="W70" s="9"/>
      <c r="X70" s="9" t="s">
        <v>1989</v>
      </c>
      <c r="Y70" s="9" t="s">
        <v>2</v>
      </c>
      <c r="Z70" s="9" t="s">
        <v>1988</v>
      </c>
      <c r="AA70" s="9" t="s">
        <v>1943</v>
      </c>
      <c r="AB70" s="8">
        <v>45839</v>
      </c>
    </row>
    <row r="71" spans="1:28" x14ac:dyDescent="0.3">
      <c r="A71" s="15">
        <v>70</v>
      </c>
      <c r="B71" s="13" t="s">
        <v>11</v>
      </c>
      <c r="C71" s="14">
        <v>45856.28125</v>
      </c>
      <c r="D71" s="14">
        <v>45856.3125</v>
      </c>
      <c r="E71" s="14">
        <v>45856.5625</v>
      </c>
      <c r="F71" s="13" t="s">
        <v>1987</v>
      </c>
      <c r="G71" s="13" t="s">
        <v>1986</v>
      </c>
      <c r="H71" s="13" t="s">
        <v>1984</v>
      </c>
      <c r="I71" s="13" t="s">
        <v>1985</v>
      </c>
      <c r="J71" s="13" t="s">
        <v>1985</v>
      </c>
      <c r="K71" s="13" t="s">
        <v>1984</v>
      </c>
      <c r="L71" s="13" t="s">
        <v>1983</v>
      </c>
      <c r="M71" s="13" t="s">
        <v>1982</v>
      </c>
      <c r="N71" s="13" t="s">
        <v>1981</v>
      </c>
      <c r="O71" s="13">
        <v>-2.4877188118904798</v>
      </c>
      <c r="P71" s="4">
        <f>O71/100</f>
        <v>-2.4877188118904797E-2</v>
      </c>
      <c r="Q71" s="5">
        <f>S70</f>
        <v>173.17594405364551</v>
      </c>
      <c r="R71" s="5">
        <f>Q71*P71*$T$1</f>
        <v>-6.4621958068372081</v>
      </c>
      <c r="S71" s="5">
        <f>R71+Q71</f>
        <v>166.71374824680831</v>
      </c>
      <c r="T71" s="5"/>
      <c r="U71" s="4"/>
      <c r="V71" s="13"/>
      <c r="W71" s="13"/>
      <c r="X71" s="13" t="s">
        <v>1980</v>
      </c>
      <c r="Y71" s="13" t="s">
        <v>63</v>
      </c>
      <c r="Z71" s="13" t="s">
        <v>1979</v>
      </c>
      <c r="AA71" s="13" t="s">
        <v>1961</v>
      </c>
      <c r="AB71" s="12">
        <v>45839</v>
      </c>
    </row>
    <row r="72" spans="1:28" x14ac:dyDescent="0.3">
      <c r="A72" s="11">
        <v>71</v>
      </c>
      <c r="B72" s="9" t="s">
        <v>22</v>
      </c>
      <c r="C72" s="10">
        <v>45856.239583333336</v>
      </c>
      <c r="D72" s="10">
        <v>45856.354166666664</v>
      </c>
      <c r="E72" s="10">
        <v>45856.791666666664</v>
      </c>
      <c r="F72" s="9" t="s">
        <v>1978</v>
      </c>
      <c r="G72" s="9" t="s">
        <v>1977</v>
      </c>
      <c r="H72" s="9" t="s">
        <v>1975</v>
      </c>
      <c r="I72" s="9" t="s">
        <v>1976</v>
      </c>
      <c r="J72" s="9" t="s">
        <v>1976</v>
      </c>
      <c r="K72" s="9" t="s">
        <v>1975</v>
      </c>
      <c r="L72" s="9" t="s">
        <v>1974</v>
      </c>
      <c r="M72" s="9" t="s">
        <v>1973</v>
      </c>
      <c r="N72" s="9" t="s">
        <v>1972</v>
      </c>
      <c r="O72" s="9">
        <v>8</v>
      </c>
      <c r="P72" s="4">
        <f>O72/100</f>
        <v>0.08</v>
      </c>
      <c r="Q72" s="5">
        <f>S71</f>
        <v>166.71374824680831</v>
      </c>
      <c r="R72" s="5">
        <f>Q72*P72*$T$1</f>
        <v>20.005649789616996</v>
      </c>
      <c r="S72" s="5">
        <f>R72+Q72</f>
        <v>186.7193980364253</v>
      </c>
      <c r="T72" s="5"/>
      <c r="U72" s="4"/>
      <c r="V72" s="9"/>
      <c r="W72" s="9"/>
      <c r="X72" s="9" t="s">
        <v>1971</v>
      </c>
      <c r="Y72" s="9" t="s">
        <v>2</v>
      </c>
      <c r="Z72" s="9" t="s">
        <v>1970</v>
      </c>
      <c r="AA72" s="9" t="s">
        <v>1934</v>
      </c>
      <c r="AB72" s="8">
        <v>45839</v>
      </c>
    </row>
    <row r="73" spans="1:28" x14ac:dyDescent="0.3">
      <c r="A73" s="15">
        <v>72</v>
      </c>
      <c r="B73" s="13" t="s">
        <v>11</v>
      </c>
      <c r="C73" s="14">
        <v>45856.583333333336</v>
      </c>
      <c r="D73" s="14">
        <v>45856.59375</v>
      </c>
      <c r="E73" s="14">
        <v>45856.84375</v>
      </c>
      <c r="F73" s="13" t="s">
        <v>1969</v>
      </c>
      <c r="G73" s="13" t="s">
        <v>1968</v>
      </c>
      <c r="H73" s="13" t="s">
        <v>1966</v>
      </c>
      <c r="I73" s="13" t="s">
        <v>1967</v>
      </c>
      <c r="J73" s="13" t="s">
        <v>1967</v>
      </c>
      <c r="K73" s="13" t="s">
        <v>1966</v>
      </c>
      <c r="L73" s="13" t="s">
        <v>1965</v>
      </c>
      <c r="M73" s="13" t="s">
        <v>1964</v>
      </c>
      <c r="N73" s="13" t="s">
        <v>1963</v>
      </c>
      <c r="O73" s="13">
        <v>6</v>
      </c>
      <c r="P73" s="4">
        <f>O73/100</f>
        <v>0.06</v>
      </c>
      <c r="Q73" s="5">
        <f>S72</f>
        <v>186.7193980364253</v>
      </c>
      <c r="R73" s="5">
        <f>Q73*P73*$T$1</f>
        <v>16.804745823278274</v>
      </c>
      <c r="S73" s="5">
        <f>R73+Q73</f>
        <v>203.52414385970357</v>
      </c>
      <c r="T73" s="5"/>
      <c r="U73" s="4"/>
      <c r="V73" s="13"/>
      <c r="W73" s="13"/>
      <c r="X73" s="13" t="s">
        <v>1962</v>
      </c>
      <c r="Y73" s="13" t="s">
        <v>2</v>
      </c>
      <c r="Z73" s="13" t="s">
        <v>1961</v>
      </c>
      <c r="AA73" s="13" t="s">
        <v>1952</v>
      </c>
      <c r="AB73" s="12">
        <v>45839</v>
      </c>
    </row>
    <row r="74" spans="1:28" x14ac:dyDescent="0.3">
      <c r="A74" s="11">
        <v>73</v>
      </c>
      <c r="B74" s="9" t="s">
        <v>11</v>
      </c>
      <c r="C74" s="10">
        <v>45857.166666666664</v>
      </c>
      <c r="D74" s="10">
        <v>45857.59375</v>
      </c>
      <c r="E74" s="10">
        <v>45858.666666666664</v>
      </c>
      <c r="F74" s="9" t="s">
        <v>1960</v>
      </c>
      <c r="G74" s="9" t="s">
        <v>1959</v>
      </c>
      <c r="H74" s="9" t="s">
        <v>1957</v>
      </c>
      <c r="I74" s="9" t="s">
        <v>1958</v>
      </c>
      <c r="J74" s="9" t="s">
        <v>1958</v>
      </c>
      <c r="K74" s="9" t="s">
        <v>1957</v>
      </c>
      <c r="L74" s="9" t="s">
        <v>1956</v>
      </c>
      <c r="M74" s="9" t="s">
        <v>1955</v>
      </c>
      <c r="N74" s="9" t="s">
        <v>1954</v>
      </c>
      <c r="O74" s="9">
        <v>-6.0948213909009903</v>
      </c>
      <c r="P74" s="4">
        <f>O74/100</f>
        <v>-6.0948213909009903E-2</v>
      </c>
      <c r="Q74" s="5">
        <f>S73</f>
        <v>203.52414385970357</v>
      </c>
      <c r="R74" s="5">
        <f>Q74*P74*$T$1</f>
        <v>-18.606649583413976</v>
      </c>
      <c r="S74" s="5">
        <f>R74+Q74</f>
        <v>184.9174942762896</v>
      </c>
      <c r="T74" s="5"/>
      <c r="U74" s="4"/>
      <c r="V74" s="9"/>
      <c r="W74" s="9"/>
      <c r="X74" s="9" t="s">
        <v>1953</v>
      </c>
      <c r="Y74" s="9" t="s">
        <v>63</v>
      </c>
      <c r="Z74" s="9" t="s">
        <v>1952</v>
      </c>
      <c r="AA74" s="9" t="s">
        <v>1888</v>
      </c>
      <c r="AB74" s="8">
        <v>45839</v>
      </c>
    </row>
    <row r="75" spans="1:28" x14ac:dyDescent="0.3">
      <c r="A75" s="15">
        <v>74</v>
      </c>
      <c r="B75" s="13" t="s">
        <v>42</v>
      </c>
      <c r="C75" s="14">
        <v>45857.572916666664</v>
      </c>
      <c r="D75" s="14">
        <v>45857.625</v>
      </c>
      <c r="E75" s="14">
        <v>45857.635416666664</v>
      </c>
      <c r="F75" s="13" t="s">
        <v>1951</v>
      </c>
      <c r="G75" s="13" t="s">
        <v>1950</v>
      </c>
      <c r="H75" s="13" t="s">
        <v>1948</v>
      </c>
      <c r="I75" s="13" t="s">
        <v>1949</v>
      </c>
      <c r="J75" s="13" t="s">
        <v>1949</v>
      </c>
      <c r="K75" s="13" t="s">
        <v>1948</v>
      </c>
      <c r="L75" s="13" t="s">
        <v>1947</v>
      </c>
      <c r="M75" s="13" t="s">
        <v>1946</v>
      </c>
      <c r="N75" s="13" t="s">
        <v>1945</v>
      </c>
      <c r="O75" s="13">
        <v>-1.87725156184289</v>
      </c>
      <c r="P75" s="4">
        <f>O75/100</f>
        <v>-1.8772515618428898E-2</v>
      </c>
      <c r="Q75" s="5">
        <f>S74</f>
        <v>184.9174942762896</v>
      </c>
      <c r="R75" s="5">
        <f>Q75*P75*$T$1</f>
        <v>-5.2070498241335743</v>
      </c>
      <c r="S75" s="5">
        <f>R75+Q75</f>
        <v>179.71044445215603</v>
      </c>
      <c r="T75" s="5"/>
      <c r="U75" s="4"/>
      <c r="V75" s="13"/>
      <c r="W75" s="13"/>
      <c r="X75" s="13" t="s">
        <v>1944</v>
      </c>
      <c r="Y75" s="13" t="s">
        <v>63</v>
      </c>
      <c r="Z75" s="13" t="s">
        <v>1943</v>
      </c>
      <c r="AA75" s="13" t="s">
        <v>1907</v>
      </c>
      <c r="AB75" s="12">
        <v>45839</v>
      </c>
    </row>
    <row r="76" spans="1:28" x14ac:dyDescent="0.3">
      <c r="A76" s="11">
        <v>75</v>
      </c>
      <c r="B76" s="9" t="s">
        <v>22</v>
      </c>
      <c r="C76" s="10">
        <v>45858.697916666664</v>
      </c>
      <c r="D76" s="10">
        <v>45858.875</v>
      </c>
      <c r="E76" s="10">
        <v>45859.260416666664</v>
      </c>
      <c r="F76" s="9" t="s">
        <v>1942</v>
      </c>
      <c r="G76" s="9" t="s">
        <v>1941</v>
      </c>
      <c r="H76" s="9" t="s">
        <v>1939</v>
      </c>
      <c r="I76" s="9" t="s">
        <v>1940</v>
      </c>
      <c r="J76" s="9" t="s">
        <v>1940</v>
      </c>
      <c r="K76" s="9" t="s">
        <v>1939</v>
      </c>
      <c r="L76" s="9" t="s">
        <v>1938</v>
      </c>
      <c r="M76" s="9" t="s">
        <v>1937</v>
      </c>
      <c r="N76" s="9" t="s">
        <v>1936</v>
      </c>
      <c r="O76" s="9">
        <v>-3.8566327478379301</v>
      </c>
      <c r="P76" s="4">
        <f>O76/100</f>
        <v>-3.8566327478379299E-2</v>
      </c>
      <c r="Q76" s="5">
        <f>S75</f>
        <v>179.71044445215603</v>
      </c>
      <c r="R76" s="5">
        <f>Q76*P76*$T$1</f>
        <v>-10.396157778040411</v>
      </c>
      <c r="S76" s="5">
        <f>R76+Q76</f>
        <v>169.31428667411561</v>
      </c>
      <c r="T76" s="5"/>
      <c r="U76" s="4"/>
      <c r="V76" s="9"/>
      <c r="W76" s="9"/>
      <c r="X76" s="9" t="s">
        <v>1935</v>
      </c>
      <c r="Y76" s="9" t="s">
        <v>63</v>
      </c>
      <c r="Z76" s="9" t="s">
        <v>1934</v>
      </c>
      <c r="AA76" s="9" t="s">
        <v>1916</v>
      </c>
      <c r="AB76" s="8">
        <v>45839</v>
      </c>
    </row>
    <row r="77" spans="1:28" x14ac:dyDescent="0.3">
      <c r="A77" s="15">
        <v>76</v>
      </c>
      <c r="B77" s="13" t="s">
        <v>108</v>
      </c>
      <c r="C77" s="14">
        <v>45859.302083333336</v>
      </c>
      <c r="D77" s="14">
        <v>45859.677083333336</v>
      </c>
      <c r="E77" s="14">
        <v>45861.53125</v>
      </c>
      <c r="F77" s="13" t="s">
        <v>1933</v>
      </c>
      <c r="G77" s="13" t="s">
        <v>1932</v>
      </c>
      <c r="H77" s="13" t="s">
        <v>1930</v>
      </c>
      <c r="I77" s="13" t="s">
        <v>1931</v>
      </c>
      <c r="J77" s="13" t="s">
        <v>1931</v>
      </c>
      <c r="K77" s="13" t="s">
        <v>1930</v>
      </c>
      <c r="L77" s="13" t="s">
        <v>1929</v>
      </c>
      <c r="M77" s="13" t="s">
        <v>1928</v>
      </c>
      <c r="N77" s="13" t="s">
        <v>1927</v>
      </c>
      <c r="O77" s="13">
        <v>10</v>
      </c>
      <c r="P77" s="4">
        <f>O77/100</f>
        <v>0.1</v>
      </c>
      <c r="Q77" s="5">
        <f>S76</f>
        <v>169.31428667411561</v>
      </c>
      <c r="R77" s="5">
        <f>Q77*P77*$T$1</f>
        <v>25.397143001117342</v>
      </c>
      <c r="S77" s="5">
        <f>R77+Q77</f>
        <v>194.71142967523295</v>
      </c>
      <c r="T77" s="5"/>
      <c r="U77" s="4"/>
      <c r="V77" s="13"/>
      <c r="W77" s="13"/>
      <c r="X77" s="13" t="s">
        <v>1926</v>
      </c>
      <c r="Y77" s="13" t="s">
        <v>2</v>
      </c>
      <c r="Z77" s="13" t="s">
        <v>1925</v>
      </c>
      <c r="AA77" s="13" t="s">
        <v>1871</v>
      </c>
      <c r="AB77" s="12">
        <v>45839</v>
      </c>
    </row>
    <row r="78" spans="1:28" x14ac:dyDescent="0.3">
      <c r="A78" s="11">
        <v>77</v>
      </c>
      <c r="B78" s="9" t="s">
        <v>22</v>
      </c>
      <c r="C78" s="10">
        <v>45859.479166666664</v>
      </c>
      <c r="D78" s="10">
        <v>45859.677083333336</v>
      </c>
      <c r="E78" s="10">
        <v>45859.895833333336</v>
      </c>
      <c r="F78" s="9" t="s">
        <v>1924</v>
      </c>
      <c r="G78" s="9" t="s">
        <v>1923</v>
      </c>
      <c r="H78" s="9" t="s">
        <v>1921</v>
      </c>
      <c r="I78" s="9" t="s">
        <v>1922</v>
      </c>
      <c r="J78" s="9" t="s">
        <v>1922</v>
      </c>
      <c r="K78" s="9" t="s">
        <v>1921</v>
      </c>
      <c r="L78" s="9" t="s">
        <v>1920</v>
      </c>
      <c r="M78" s="9" t="s">
        <v>1919</v>
      </c>
      <c r="N78" s="9" t="s">
        <v>1918</v>
      </c>
      <c r="O78" s="9">
        <v>-5.3096396677282103</v>
      </c>
      <c r="P78" s="4">
        <f>O78/100</f>
        <v>-5.3096396677282102E-2</v>
      </c>
      <c r="Q78" s="5">
        <f>S77</f>
        <v>194.71142967523295</v>
      </c>
      <c r="R78" s="5">
        <f>Q78*P78*$T$1</f>
        <v>-15.507712961455331</v>
      </c>
      <c r="S78" s="5">
        <f>R78+Q78</f>
        <v>179.20371671377762</v>
      </c>
      <c r="T78" s="5"/>
      <c r="U78" s="4"/>
      <c r="V78" s="9"/>
      <c r="W78" s="9"/>
      <c r="X78" s="9" t="s">
        <v>1917</v>
      </c>
      <c r="Y78" s="9" t="s">
        <v>63</v>
      </c>
      <c r="Z78" s="9" t="s">
        <v>1916</v>
      </c>
      <c r="AA78" s="9" t="s">
        <v>1898</v>
      </c>
      <c r="AB78" s="8">
        <v>45839</v>
      </c>
    </row>
    <row r="79" spans="1:28" x14ac:dyDescent="0.3">
      <c r="A79" s="15">
        <v>78</v>
      </c>
      <c r="B79" s="13" t="s">
        <v>42</v>
      </c>
      <c r="C79" s="14">
        <v>45859.625</v>
      </c>
      <c r="D79" s="14">
        <v>45859.84375</v>
      </c>
      <c r="E79" s="14">
        <v>45860.010416666664</v>
      </c>
      <c r="F79" s="13" t="s">
        <v>1915</v>
      </c>
      <c r="G79" s="13" t="s">
        <v>1914</v>
      </c>
      <c r="H79" s="13" t="s">
        <v>1912</v>
      </c>
      <c r="I79" s="13" t="s">
        <v>1913</v>
      </c>
      <c r="J79" s="13" t="s">
        <v>1913</v>
      </c>
      <c r="K79" s="13" t="s">
        <v>1912</v>
      </c>
      <c r="L79" s="13" t="s">
        <v>1911</v>
      </c>
      <c r="M79" s="13" t="s">
        <v>1910</v>
      </c>
      <c r="N79" s="13" t="s">
        <v>1909</v>
      </c>
      <c r="O79" s="13">
        <v>-5.2014537136110297</v>
      </c>
      <c r="P79" s="4">
        <f>O79/100</f>
        <v>-5.2014537136110296E-2</v>
      </c>
      <c r="Q79" s="5">
        <f>S78</f>
        <v>179.20371671377762</v>
      </c>
      <c r="R79" s="5">
        <f>Q79*P79*$T$1</f>
        <v>-13.981797566906664</v>
      </c>
      <c r="S79" s="5">
        <f>R79+Q79</f>
        <v>165.22191914687096</v>
      </c>
      <c r="T79" s="5"/>
      <c r="U79" s="4"/>
      <c r="V79" s="13"/>
      <c r="W79" s="13"/>
      <c r="X79" s="13" t="s">
        <v>1908</v>
      </c>
      <c r="Y79" s="13" t="s">
        <v>63</v>
      </c>
      <c r="Z79" s="13" t="s">
        <v>1907</v>
      </c>
      <c r="AA79" s="13" t="s">
        <v>1853</v>
      </c>
      <c r="AB79" s="12">
        <v>45839</v>
      </c>
    </row>
    <row r="80" spans="1:28" x14ac:dyDescent="0.3">
      <c r="A80" s="11">
        <v>79</v>
      </c>
      <c r="B80" s="9" t="s">
        <v>22</v>
      </c>
      <c r="C80" s="10">
        <v>45859.989583333336</v>
      </c>
      <c r="D80" s="10">
        <v>45860.072916666664</v>
      </c>
      <c r="E80" s="10">
        <v>45860.34375</v>
      </c>
      <c r="F80" s="9" t="s">
        <v>1906</v>
      </c>
      <c r="G80" s="9" t="s">
        <v>1905</v>
      </c>
      <c r="H80" s="9" t="s">
        <v>1903</v>
      </c>
      <c r="I80" s="9" t="s">
        <v>1904</v>
      </c>
      <c r="J80" s="9" t="s">
        <v>1904</v>
      </c>
      <c r="K80" s="9" t="s">
        <v>1903</v>
      </c>
      <c r="L80" s="9" t="s">
        <v>1902</v>
      </c>
      <c r="M80" s="9" t="s">
        <v>1901</v>
      </c>
      <c r="N80" s="9" t="s">
        <v>1900</v>
      </c>
      <c r="O80" s="9">
        <v>8</v>
      </c>
      <c r="P80" s="4">
        <f>O80/100</f>
        <v>0.08</v>
      </c>
      <c r="Q80" s="5">
        <f>S79</f>
        <v>165.22191914687096</v>
      </c>
      <c r="R80" s="5">
        <f>Q80*P80*$T$1</f>
        <v>19.826630297624515</v>
      </c>
      <c r="S80" s="5">
        <f>R80+Q80</f>
        <v>185.04854944449548</v>
      </c>
      <c r="T80" s="5"/>
      <c r="U80" s="4"/>
      <c r="V80" s="9"/>
      <c r="W80" s="9"/>
      <c r="X80" s="9" t="s">
        <v>1899</v>
      </c>
      <c r="Y80" s="9" t="s">
        <v>2</v>
      </c>
      <c r="Z80" s="9" t="s">
        <v>1898</v>
      </c>
      <c r="AA80" s="9" t="s">
        <v>1897</v>
      </c>
      <c r="AB80" s="8">
        <v>45839</v>
      </c>
    </row>
    <row r="81" spans="1:28" x14ac:dyDescent="0.3">
      <c r="A81" s="15">
        <v>80</v>
      </c>
      <c r="B81" s="13" t="s">
        <v>11</v>
      </c>
      <c r="C81" s="14">
        <v>45858.8125</v>
      </c>
      <c r="D81" s="14">
        <v>45860.177083333336</v>
      </c>
      <c r="E81" s="14">
        <v>45861.552083333336</v>
      </c>
      <c r="F81" s="13" t="s">
        <v>1896</v>
      </c>
      <c r="G81" s="13" t="s">
        <v>1895</v>
      </c>
      <c r="H81" s="13" t="s">
        <v>1893</v>
      </c>
      <c r="I81" s="13" t="s">
        <v>1894</v>
      </c>
      <c r="J81" s="13" t="s">
        <v>1894</v>
      </c>
      <c r="K81" s="13" t="s">
        <v>1893</v>
      </c>
      <c r="L81" s="13" t="s">
        <v>1892</v>
      </c>
      <c r="M81" s="13" t="s">
        <v>1891</v>
      </c>
      <c r="N81" s="13" t="s">
        <v>1890</v>
      </c>
      <c r="O81" s="13">
        <v>6</v>
      </c>
      <c r="P81" s="4">
        <f>O81/100</f>
        <v>0.06</v>
      </c>
      <c r="Q81" s="5">
        <f>S80</f>
        <v>185.04854944449548</v>
      </c>
      <c r="R81" s="5">
        <f>Q81*P81*$T$1</f>
        <v>16.654369450004594</v>
      </c>
      <c r="S81" s="5">
        <f>R81+Q81</f>
        <v>201.70291889450007</v>
      </c>
      <c r="T81" s="5"/>
      <c r="U81" s="4"/>
      <c r="V81" s="13"/>
      <c r="W81" s="13"/>
      <c r="X81" s="13" t="s">
        <v>1889</v>
      </c>
      <c r="Y81" s="13" t="s">
        <v>2</v>
      </c>
      <c r="Z81" s="13" t="s">
        <v>1888</v>
      </c>
      <c r="AA81" s="13" t="s">
        <v>1844</v>
      </c>
      <c r="AB81" s="12">
        <v>45839</v>
      </c>
    </row>
    <row r="82" spans="1:28" x14ac:dyDescent="0.3">
      <c r="A82" s="11">
        <v>81</v>
      </c>
      <c r="B82" s="9" t="s">
        <v>22</v>
      </c>
      <c r="C82" s="10">
        <v>45862.614583333336</v>
      </c>
      <c r="D82" s="10">
        <v>45862.666666666664</v>
      </c>
      <c r="E82" s="10">
        <v>45863.020833333336</v>
      </c>
      <c r="F82" s="9" t="s">
        <v>1887</v>
      </c>
      <c r="G82" s="9" t="s">
        <v>1886</v>
      </c>
      <c r="H82" s="9" t="s">
        <v>1884</v>
      </c>
      <c r="I82" s="9" t="s">
        <v>1885</v>
      </c>
      <c r="J82" s="9" t="s">
        <v>1885</v>
      </c>
      <c r="K82" s="9" t="s">
        <v>1884</v>
      </c>
      <c r="L82" s="9" t="s">
        <v>1883</v>
      </c>
      <c r="M82" s="9" t="s">
        <v>1882</v>
      </c>
      <c r="N82" s="9" t="s">
        <v>1881</v>
      </c>
      <c r="O82" s="9">
        <v>8</v>
      </c>
      <c r="P82" s="4">
        <f>O82/100</f>
        <v>0.08</v>
      </c>
      <c r="Q82" s="5">
        <f>S81</f>
        <v>201.70291889450007</v>
      </c>
      <c r="R82" s="5">
        <f>Q82*P82*$T$1</f>
        <v>24.204350267340011</v>
      </c>
      <c r="S82" s="5">
        <f>R82+Q82</f>
        <v>225.90726916184008</v>
      </c>
      <c r="T82" s="5"/>
      <c r="U82" s="4"/>
      <c r="V82" s="9"/>
      <c r="W82" s="9"/>
      <c r="X82" s="9" t="s">
        <v>1880</v>
      </c>
      <c r="Y82" s="9" t="s">
        <v>2</v>
      </c>
      <c r="Z82" s="9" t="s">
        <v>1879</v>
      </c>
      <c r="AA82" s="9" t="s">
        <v>1862</v>
      </c>
      <c r="AB82" s="8">
        <v>45839</v>
      </c>
    </row>
    <row r="83" spans="1:28" x14ac:dyDescent="0.3">
      <c r="A83" s="15">
        <v>82</v>
      </c>
      <c r="B83" s="13" t="s">
        <v>108</v>
      </c>
      <c r="C83" s="14">
        <v>45863.447916666664</v>
      </c>
      <c r="D83" s="14">
        <v>45863.604166666664</v>
      </c>
      <c r="E83" s="14">
        <v>45863.875</v>
      </c>
      <c r="F83" s="13" t="s">
        <v>1878</v>
      </c>
      <c r="G83" s="13" t="s">
        <v>1642</v>
      </c>
      <c r="H83" s="13" t="s">
        <v>1876</v>
      </c>
      <c r="I83" s="13" t="s">
        <v>1877</v>
      </c>
      <c r="J83" s="13" t="s">
        <v>1877</v>
      </c>
      <c r="K83" s="13" t="s">
        <v>1876</v>
      </c>
      <c r="L83" s="13" t="s">
        <v>1875</v>
      </c>
      <c r="M83" s="13" t="s">
        <v>1874</v>
      </c>
      <c r="N83" s="13" t="s">
        <v>1873</v>
      </c>
      <c r="O83" s="13">
        <v>-3.0079698346044998</v>
      </c>
      <c r="P83" s="4">
        <f>O83/100</f>
        <v>-3.0079698346045E-2</v>
      </c>
      <c r="Q83" s="5">
        <f>S82</f>
        <v>225.90726916184008</v>
      </c>
      <c r="R83" s="5">
        <f>Q83*P83*$T$1</f>
        <v>-10.192833765850414</v>
      </c>
      <c r="S83" s="5">
        <f>R83+Q83</f>
        <v>215.71443539598965</v>
      </c>
      <c r="T83" s="5"/>
      <c r="U83" s="4"/>
      <c r="V83" s="13"/>
      <c r="W83" s="13"/>
      <c r="X83" s="13" t="s">
        <v>1872</v>
      </c>
      <c r="Y83" s="13" t="s">
        <v>63</v>
      </c>
      <c r="Z83" s="13" t="s">
        <v>1871</v>
      </c>
      <c r="AA83" s="13" t="s">
        <v>1817</v>
      </c>
      <c r="AB83" s="12">
        <v>45839</v>
      </c>
    </row>
    <row r="84" spans="1:28" x14ac:dyDescent="0.3">
      <c r="A84" s="11">
        <v>83</v>
      </c>
      <c r="B84" s="9" t="s">
        <v>22</v>
      </c>
      <c r="C84" s="10">
        <v>45864.010416666664</v>
      </c>
      <c r="D84" s="10">
        <v>45864.0625</v>
      </c>
      <c r="E84" s="10">
        <v>45864.135416666664</v>
      </c>
      <c r="F84" s="9" t="s">
        <v>1870</v>
      </c>
      <c r="G84" s="9" t="s">
        <v>1869</v>
      </c>
      <c r="H84" s="9" t="s">
        <v>1867</v>
      </c>
      <c r="I84" s="9" t="s">
        <v>1868</v>
      </c>
      <c r="J84" s="9" t="s">
        <v>1868</v>
      </c>
      <c r="K84" s="9" t="s">
        <v>1867</v>
      </c>
      <c r="L84" s="9" t="s">
        <v>1866</v>
      </c>
      <c r="M84" s="9" t="s">
        <v>1865</v>
      </c>
      <c r="N84" s="9" t="s">
        <v>1864</v>
      </c>
      <c r="O84" s="9">
        <v>-1.21269553513795</v>
      </c>
      <c r="P84" s="4">
        <f>O84/100</f>
        <v>-1.21269553513795E-2</v>
      </c>
      <c r="Q84" s="5">
        <f>S83</f>
        <v>215.71443539598965</v>
      </c>
      <c r="R84" s="5">
        <f>Q84*P84*$T$1</f>
        <v>-3.9239389900428066</v>
      </c>
      <c r="S84" s="5">
        <f>R84+Q84</f>
        <v>211.79049640594684</v>
      </c>
      <c r="T84" s="5"/>
      <c r="U84" s="4"/>
      <c r="V84" s="9"/>
      <c r="W84" s="9"/>
      <c r="X84" s="9" t="s">
        <v>1863</v>
      </c>
      <c r="Y84" s="9" t="s">
        <v>63</v>
      </c>
      <c r="Z84" s="9" t="s">
        <v>1862</v>
      </c>
      <c r="AA84" s="9" t="s">
        <v>1835</v>
      </c>
      <c r="AB84" s="8">
        <v>45839</v>
      </c>
    </row>
    <row r="85" spans="1:28" x14ac:dyDescent="0.3">
      <c r="A85" s="15">
        <v>84</v>
      </c>
      <c r="B85" s="13" t="s">
        <v>42</v>
      </c>
      <c r="C85" s="14">
        <v>45863.947916666664</v>
      </c>
      <c r="D85" s="14">
        <v>45864.770833333336</v>
      </c>
      <c r="E85" s="14">
        <v>45866.125</v>
      </c>
      <c r="F85" s="13" t="s">
        <v>1861</v>
      </c>
      <c r="G85" s="13" t="s">
        <v>1860</v>
      </c>
      <c r="H85" s="13" t="s">
        <v>1858</v>
      </c>
      <c r="I85" s="13" t="s">
        <v>1859</v>
      </c>
      <c r="J85" s="13" t="s">
        <v>1859</v>
      </c>
      <c r="K85" s="13" t="s">
        <v>1858</v>
      </c>
      <c r="L85" s="13" t="s">
        <v>1857</v>
      </c>
      <c r="M85" s="13" t="s">
        <v>1856</v>
      </c>
      <c r="N85" s="13" t="s">
        <v>1855</v>
      </c>
      <c r="O85" s="13">
        <v>-4.2133992920806902</v>
      </c>
      <c r="P85" s="4">
        <f>O85/100</f>
        <v>-4.2133992920806905E-2</v>
      </c>
      <c r="Q85" s="5">
        <f>S84</f>
        <v>211.79049640594684</v>
      </c>
      <c r="R85" s="5">
        <f>Q85*P85*$T$1</f>
        <v>-13.385368914393517</v>
      </c>
      <c r="S85" s="5">
        <f>R85+Q85</f>
        <v>198.40512749155332</v>
      </c>
      <c r="T85" s="5"/>
      <c r="U85" s="4"/>
      <c r="V85" s="13"/>
      <c r="W85" s="13"/>
      <c r="X85" s="13" t="s">
        <v>1854</v>
      </c>
      <c r="Y85" s="13" t="s">
        <v>63</v>
      </c>
      <c r="Z85" s="13" t="s">
        <v>1853</v>
      </c>
      <c r="AA85" s="13" t="s">
        <v>1782</v>
      </c>
      <c r="AB85" s="12">
        <v>45839</v>
      </c>
    </row>
    <row r="86" spans="1:28" x14ac:dyDescent="0.3">
      <c r="A86" s="11">
        <v>85</v>
      </c>
      <c r="B86" s="9" t="s">
        <v>11</v>
      </c>
      <c r="C86" s="10">
        <v>45865.21875</v>
      </c>
      <c r="D86" s="10">
        <v>45865.28125</v>
      </c>
      <c r="E86" s="10">
        <v>45865.916666666664</v>
      </c>
      <c r="F86" s="9" t="s">
        <v>1852</v>
      </c>
      <c r="G86" s="9" t="s">
        <v>1851</v>
      </c>
      <c r="H86" s="9" t="s">
        <v>1849</v>
      </c>
      <c r="I86" s="9" t="s">
        <v>1850</v>
      </c>
      <c r="J86" s="9" t="s">
        <v>1850</v>
      </c>
      <c r="K86" s="9" t="s">
        <v>1849</v>
      </c>
      <c r="L86" s="9" t="s">
        <v>1848</v>
      </c>
      <c r="M86" s="9" t="s">
        <v>1847</v>
      </c>
      <c r="N86" s="9" t="s">
        <v>1846</v>
      </c>
      <c r="O86" s="9">
        <v>-1.6897329093325</v>
      </c>
      <c r="P86" s="4">
        <f>O86/100</f>
        <v>-1.6897329093325E-2</v>
      </c>
      <c r="Q86" s="5">
        <f>S85</f>
        <v>198.40512749155332</v>
      </c>
      <c r="R86" s="5">
        <f>Q86*P86*$T$1</f>
        <v>-5.0287750995418188</v>
      </c>
      <c r="S86" s="5">
        <f>R86+Q86</f>
        <v>193.37635239201148</v>
      </c>
      <c r="T86" s="5"/>
      <c r="U86" s="4"/>
      <c r="V86" s="9"/>
      <c r="W86" s="9"/>
      <c r="X86" s="9" t="s">
        <v>1845</v>
      </c>
      <c r="Y86" s="9" t="s">
        <v>63</v>
      </c>
      <c r="Z86" s="9" t="s">
        <v>1844</v>
      </c>
      <c r="AA86" s="9" t="s">
        <v>1754</v>
      </c>
      <c r="AB86" s="8">
        <v>45839</v>
      </c>
    </row>
    <row r="87" spans="1:28" x14ac:dyDescent="0.3">
      <c r="A87" s="15">
        <v>86</v>
      </c>
      <c r="B87" s="13" t="s">
        <v>22</v>
      </c>
      <c r="C87" s="14">
        <v>45865.208333333336</v>
      </c>
      <c r="D87" s="14">
        <v>45865.447916666664</v>
      </c>
      <c r="E87" s="14">
        <v>45865.6875</v>
      </c>
      <c r="F87" s="13" t="s">
        <v>1843</v>
      </c>
      <c r="G87" s="13" t="s">
        <v>1842</v>
      </c>
      <c r="H87" s="13" t="s">
        <v>1840</v>
      </c>
      <c r="I87" s="13" t="s">
        <v>1841</v>
      </c>
      <c r="J87" s="13" t="s">
        <v>1841</v>
      </c>
      <c r="K87" s="13" t="s">
        <v>1840</v>
      </c>
      <c r="L87" s="13" t="s">
        <v>1839</v>
      </c>
      <c r="M87" s="13" t="s">
        <v>1838</v>
      </c>
      <c r="N87" s="13" t="s">
        <v>1837</v>
      </c>
      <c r="O87" s="13">
        <v>-4.0143547063202698</v>
      </c>
      <c r="P87" s="4">
        <f>O87/100</f>
        <v>-4.0143547063202695E-2</v>
      </c>
      <c r="Q87" s="5">
        <f>S86</f>
        <v>193.37635239201148</v>
      </c>
      <c r="R87" s="5">
        <f>Q87*P87*$T$1</f>
        <v>-11.644219054738773</v>
      </c>
      <c r="S87" s="5">
        <f>R87+Q87</f>
        <v>181.7321333372727</v>
      </c>
      <c r="T87" s="5"/>
      <c r="U87" s="4"/>
      <c r="V87" s="13"/>
      <c r="W87" s="13"/>
      <c r="X87" s="13" t="s">
        <v>1836</v>
      </c>
      <c r="Y87" s="13" t="s">
        <v>63</v>
      </c>
      <c r="Z87" s="13" t="s">
        <v>1835</v>
      </c>
      <c r="AA87" s="13" t="s">
        <v>1826</v>
      </c>
      <c r="AB87" s="12">
        <v>45839</v>
      </c>
    </row>
    <row r="88" spans="1:28" x14ac:dyDescent="0.3">
      <c r="A88" s="11">
        <v>87</v>
      </c>
      <c r="B88" s="9" t="s">
        <v>22</v>
      </c>
      <c r="C88" s="10">
        <v>45865.75</v>
      </c>
      <c r="D88" s="10">
        <v>45865.916666666664</v>
      </c>
      <c r="E88" s="10">
        <v>45866.59375</v>
      </c>
      <c r="F88" s="9" t="s">
        <v>1834</v>
      </c>
      <c r="G88" s="9" t="s">
        <v>1833</v>
      </c>
      <c r="H88" s="9" t="s">
        <v>1831</v>
      </c>
      <c r="I88" s="9" t="s">
        <v>1832</v>
      </c>
      <c r="J88" s="9" t="s">
        <v>1832</v>
      </c>
      <c r="K88" s="9" t="s">
        <v>1831</v>
      </c>
      <c r="L88" s="9" t="s">
        <v>1830</v>
      </c>
      <c r="M88" s="9" t="s">
        <v>1829</v>
      </c>
      <c r="N88" s="9" t="s">
        <v>1828</v>
      </c>
      <c r="O88" s="9">
        <v>8</v>
      </c>
      <c r="P88" s="4">
        <f>O88/100</f>
        <v>0.08</v>
      </c>
      <c r="Q88" s="5">
        <f>S87</f>
        <v>181.7321333372727</v>
      </c>
      <c r="R88" s="5">
        <f>Q88*P88*$T$1</f>
        <v>21.807856000472725</v>
      </c>
      <c r="S88" s="5">
        <f>R88+Q88</f>
        <v>203.53998933774542</v>
      </c>
      <c r="T88" s="5"/>
      <c r="U88" s="4"/>
      <c r="V88" s="9"/>
      <c r="W88" s="9"/>
      <c r="X88" s="9" t="s">
        <v>1827</v>
      </c>
      <c r="Y88" s="9" t="s">
        <v>2</v>
      </c>
      <c r="Z88" s="9" t="s">
        <v>1826</v>
      </c>
      <c r="AA88" s="9" t="s">
        <v>1791</v>
      </c>
      <c r="AB88" s="8">
        <v>45839</v>
      </c>
    </row>
    <row r="89" spans="1:28" x14ac:dyDescent="0.3">
      <c r="A89" s="15">
        <v>88</v>
      </c>
      <c r="B89" s="13" t="s">
        <v>108</v>
      </c>
      <c r="C89" s="14">
        <v>45863.875</v>
      </c>
      <c r="D89" s="14">
        <v>45866.65625</v>
      </c>
      <c r="E89" s="14">
        <v>45869.833333333336</v>
      </c>
      <c r="F89" s="13" t="s">
        <v>1825</v>
      </c>
      <c r="G89" s="13" t="s">
        <v>1824</v>
      </c>
      <c r="H89" s="13" t="s">
        <v>1822</v>
      </c>
      <c r="I89" s="13" t="s">
        <v>1823</v>
      </c>
      <c r="J89" s="13" t="s">
        <v>1823</v>
      </c>
      <c r="K89" s="13" t="s">
        <v>1822</v>
      </c>
      <c r="L89" s="13" t="s">
        <v>1821</v>
      </c>
      <c r="M89" s="13" t="s">
        <v>1820</v>
      </c>
      <c r="N89" s="13" t="s">
        <v>1819</v>
      </c>
      <c r="O89" s="13">
        <v>10</v>
      </c>
      <c r="P89" s="4">
        <f>O89/100</f>
        <v>0.1</v>
      </c>
      <c r="Q89" s="5">
        <f>S88</f>
        <v>203.53998933774542</v>
      </c>
      <c r="R89" s="5">
        <f>Q89*P89*$T$1</f>
        <v>30.530998400661815</v>
      </c>
      <c r="S89" s="5">
        <f>R89+Q89</f>
        <v>234.07098773840724</v>
      </c>
      <c r="T89" s="5"/>
      <c r="U89" s="4"/>
      <c r="V89" s="13"/>
      <c r="W89" s="13"/>
      <c r="X89" s="13" t="s">
        <v>1818</v>
      </c>
      <c r="Y89" s="13" t="s">
        <v>2</v>
      </c>
      <c r="Z89" s="13" t="s">
        <v>1817</v>
      </c>
      <c r="AA89" s="13" t="s">
        <v>1809</v>
      </c>
      <c r="AB89" s="12">
        <v>45839</v>
      </c>
    </row>
    <row r="90" spans="1:28" x14ac:dyDescent="0.3">
      <c r="A90" s="11">
        <v>89</v>
      </c>
      <c r="B90" s="9" t="s">
        <v>108</v>
      </c>
      <c r="C90" s="10">
        <v>45869.354166666664</v>
      </c>
      <c r="D90" s="10">
        <v>45869.427083333336</v>
      </c>
      <c r="E90" s="10">
        <v>45870.03125</v>
      </c>
      <c r="F90" s="9" t="s">
        <v>1816</v>
      </c>
      <c r="G90" s="9" t="s">
        <v>1815</v>
      </c>
      <c r="H90" s="9" t="s">
        <v>1579</v>
      </c>
      <c r="I90" s="9" t="s">
        <v>1814</v>
      </c>
      <c r="J90" s="9" t="s">
        <v>1814</v>
      </c>
      <c r="K90" s="9" t="s">
        <v>1579</v>
      </c>
      <c r="L90" s="9" t="s">
        <v>1813</v>
      </c>
      <c r="M90" s="9" t="s">
        <v>1812</v>
      </c>
      <c r="N90" s="9" t="s">
        <v>1811</v>
      </c>
      <c r="O90" s="9">
        <v>10</v>
      </c>
      <c r="P90" s="4">
        <f>O90/100</f>
        <v>0.1</v>
      </c>
      <c r="Q90" s="5">
        <f>S89</f>
        <v>234.07098773840724</v>
      </c>
      <c r="R90" s="5">
        <f>Q90*P90*$T$1</f>
        <v>35.110648160761087</v>
      </c>
      <c r="S90" s="5">
        <f>R90+Q90</f>
        <v>269.18163589916833</v>
      </c>
      <c r="T90" s="5"/>
      <c r="U90" s="4"/>
      <c r="V90" s="9"/>
      <c r="W90" s="9"/>
      <c r="X90" s="9" t="s">
        <v>1810</v>
      </c>
      <c r="Y90" s="9" t="s">
        <v>2</v>
      </c>
      <c r="Z90" s="9" t="s">
        <v>1809</v>
      </c>
      <c r="AA90" s="9" t="s">
        <v>1800</v>
      </c>
      <c r="AB90" s="8">
        <v>45839</v>
      </c>
    </row>
    <row r="91" spans="1:28" x14ac:dyDescent="0.3">
      <c r="A91" s="15">
        <v>90</v>
      </c>
      <c r="B91" s="13" t="s">
        <v>108</v>
      </c>
      <c r="C91" s="14">
        <v>45872.333333333336</v>
      </c>
      <c r="D91" s="14">
        <v>45872.416666666664</v>
      </c>
      <c r="E91" s="14">
        <v>45873.020833333336</v>
      </c>
      <c r="F91" s="13" t="s">
        <v>1808</v>
      </c>
      <c r="G91" s="13" t="s">
        <v>1807</v>
      </c>
      <c r="H91" s="13" t="s">
        <v>1805</v>
      </c>
      <c r="I91" s="13" t="s">
        <v>1806</v>
      </c>
      <c r="J91" s="13" t="s">
        <v>1806</v>
      </c>
      <c r="K91" s="13" t="s">
        <v>1805</v>
      </c>
      <c r="L91" s="13" t="s">
        <v>1804</v>
      </c>
      <c r="M91" s="13" t="s">
        <v>1803</v>
      </c>
      <c r="N91" s="13" t="s">
        <v>1802</v>
      </c>
      <c r="O91" s="13">
        <v>-0.65228093206430904</v>
      </c>
      <c r="P91" s="4">
        <f>O91/100</f>
        <v>-6.5228093206430903E-3</v>
      </c>
      <c r="Q91" s="5">
        <f>S90</f>
        <v>269.18163589916833</v>
      </c>
      <c r="R91" s="5">
        <f>Q91*P91*$T$1</f>
        <v>-2.6337307253835749</v>
      </c>
      <c r="S91" s="5">
        <f>R91+Q91</f>
        <v>266.54790517378473</v>
      </c>
      <c r="T91" s="5"/>
      <c r="U91" s="4"/>
      <c r="V91" s="13"/>
      <c r="W91" s="13"/>
      <c r="X91" s="13" t="s">
        <v>1801</v>
      </c>
      <c r="Y91" s="13" t="s">
        <v>63</v>
      </c>
      <c r="Z91" s="13" t="s">
        <v>1800</v>
      </c>
      <c r="AA91" s="13" t="s">
        <v>1691</v>
      </c>
      <c r="AB91" s="12">
        <v>45870</v>
      </c>
    </row>
    <row r="92" spans="1:28" x14ac:dyDescent="0.3">
      <c r="A92" s="11">
        <v>91</v>
      </c>
      <c r="B92" s="9" t="s">
        <v>22</v>
      </c>
      <c r="C92" s="10">
        <v>45872.458333333336</v>
      </c>
      <c r="D92" s="10">
        <v>45872.5</v>
      </c>
      <c r="E92" s="10">
        <v>45873.03125</v>
      </c>
      <c r="F92" s="9" t="s">
        <v>1799</v>
      </c>
      <c r="G92" s="9" t="s">
        <v>1798</v>
      </c>
      <c r="H92" s="9" t="s">
        <v>1796</v>
      </c>
      <c r="I92" s="9" t="s">
        <v>1797</v>
      </c>
      <c r="J92" s="9" t="s">
        <v>1797</v>
      </c>
      <c r="K92" s="9" t="s">
        <v>1796</v>
      </c>
      <c r="L92" s="9" t="s">
        <v>1795</v>
      </c>
      <c r="M92" s="9" t="s">
        <v>1794</v>
      </c>
      <c r="N92" s="9" t="s">
        <v>1793</v>
      </c>
      <c r="O92" s="9">
        <v>-0.92246402283790196</v>
      </c>
      <c r="P92" s="4">
        <f>O92/100</f>
        <v>-9.2246402283790198E-3</v>
      </c>
      <c r="Q92" s="5">
        <f>S91</f>
        <v>266.54790517378473</v>
      </c>
      <c r="R92" s="5">
        <f>Q92*P92*$T$1</f>
        <v>-3.688212793284376</v>
      </c>
      <c r="S92" s="5">
        <f>R92+Q92</f>
        <v>262.85969238050035</v>
      </c>
      <c r="T92" s="5"/>
      <c r="U92" s="4"/>
      <c r="V92" s="9"/>
      <c r="W92" s="9"/>
      <c r="X92" s="9" t="s">
        <v>1792</v>
      </c>
      <c r="Y92" s="9" t="s">
        <v>63</v>
      </c>
      <c r="Z92" s="9" t="s">
        <v>1791</v>
      </c>
      <c r="AA92" s="9" t="s">
        <v>1773</v>
      </c>
      <c r="AB92" s="8">
        <v>45870</v>
      </c>
    </row>
    <row r="93" spans="1:28" x14ac:dyDescent="0.3">
      <c r="A93" s="15">
        <v>92</v>
      </c>
      <c r="B93" s="13" t="s">
        <v>42</v>
      </c>
      <c r="C93" s="14">
        <v>45873.125</v>
      </c>
      <c r="D93" s="14">
        <v>45873.3125</v>
      </c>
      <c r="E93" s="14">
        <v>45873.5625</v>
      </c>
      <c r="F93" s="13" t="s">
        <v>1790</v>
      </c>
      <c r="G93" s="13" t="s">
        <v>1789</v>
      </c>
      <c r="H93" s="13" t="s">
        <v>1787</v>
      </c>
      <c r="I93" s="13" t="s">
        <v>1788</v>
      </c>
      <c r="J93" s="13" t="s">
        <v>1788</v>
      </c>
      <c r="K93" s="13" t="s">
        <v>1787</v>
      </c>
      <c r="L93" s="13" t="s">
        <v>1786</v>
      </c>
      <c r="M93" s="13" t="s">
        <v>1785</v>
      </c>
      <c r="N93" s="13" t="s">
        <v>1784</v>
      </c>
      <c r="O93" s="13">
        <v>-2.1878025169409399</v>
      </c>
      <c r="P93" s="4">
        <f>O93/100</f>
        <v>-2.1878025169409399E-2</v>
      </c>
      <c r="Q93" s="5">
        <f>S92</f>
        <v>262.85969238050035</v>
      </c>
      <c r="R93" s="5">
        <f>Q93*P93*$T$1</f>
        <v>-8.6262764488856973</v>
      </c>
      <c r="S93" s="5">
        <f>R93+Q93</f>
        <v>254.23341593161464</v>
      </c>
      <c r="T93" s="5"/>
      <c r="U93" s="4"/>
      <c r="V93" s="13"/>
      <c r="W93" s="13"/>
      <c r="X93" s="13" t="s">
        <v>1783</v>
      </c>
      <c r="Y93" s="13" t="s">
        <v>63</v>
      </c>
      <c r="Z93" s="13" t="s">
        <v>1782</v>
      </c>
      <c r="AA93" s="13" t="s">
        <v>1764</v>
      </c>
      <c r="AB93" s="12">
        <v>45870</v>
      </c>
    </row>
    <row r="94" spans="1:28" x14ac:dyDescent="0.3">
      <c r="A94" s="11">
        <v>93</v>
      </c>
      <c r="B94" s="9" t="s">
        <v>22</v>
      </c>
      <c r="C94" s="10">
        <v>45873.708333333336</v>
      </c>
      <c r="D94" s="10">
        <v>45873.854166666664</v>
      </c>
      <c r="E94" s="10">
        <v>45877.135416666664</v>
      </c>
      <c r="F94" s="9" t="s">
        <v>1781</v>
      </c>
      <c r="G94" s="9" t="s">
        <v>1780</v>
      </c>
      <c r="H94" s="9" t="s">
        <v>1778</v>
      </c>
      <c r="I94" s="9" t="s">
        <v>1779</v>
      </c>
      <c r="J94" s="9" t="s">
        <v>1779</v>
      </c>
      <c r="K94" s="9" t="s">
        <v>1778</v>
      </c>
      <c r="L94" s="9" t="s">
        <v>1777</v>
      </c>
      <c r="M94" s="9" t="s">
        <v>1776</v>
      </c>
      <c r="N94" s="9" t="s">
        <v>1775</v>
      </c>
      <c r="O94" s="9">
        <v>-3.2728506020010202</v>
      </c>
      <c r="P94" s="4">
        <f>O94/100</f>
        <v>-3.2728506020010199E-2</v>
      </c>
      <c r="Q94" s="5">
        <f>S93</f>
        <v>254.23341593161464</v>
      </c>
      <c r="R94" s="5">
        <f>Q94*P94*$T$1</f>
        <v>-12.48101982570841</v>
      </c>
      <c r="S94" s="5">
        <f>R94+Q94</f>
        <v>241.75239610590623</v>
      </c>
      <c r="T94" s="5"/>
      <c r="U94" s="4"/>
      <c r="V94" s="9"/>
      <c r="W94" s="9"/>
      <c r="X94" s="9" t="s">
        <v>1774</v>
      </c>
      <c r="Y94" s="9" t="s">
        <v>63</v>
      </c>
      <c r="Z94" s="9" t="s">
        <v>1773</v>
      </c>
      <c r="AA94" s="9" t="s">
        <v>1745</v>
      </c>
      <c r="AB94" s="8">
        <v>45870</v>
      </c>
    </row>
    <row r="95" spans="1:28" x14ac:dyDescent="0.3">
      <c r="A95" s="15">
        <v>94</v>
      </c>
      <c r="B95" s="13" t="s">
        <v>42</v>
      </c>
      <c r="C95" s="14">
        <v>45873.96875</v>
      </c>
      <c r="D95" s="14">
        <v>45874.041666666664</v>
      </c>
      <c r="E95" s="14">
        <v>45874.645833333336</v>
      </c>
      <c r="F95" s="13" t="s">
        <v>1772</v>
      </c>
      <c r="G95" s="13" t="s">
        <v>1771</v>
      </c>
      <c r="H95" s="13" t="s">
        <v>1769</v>
      </c>
      <c r="I95" s="13" t="s">
        <v>1770</v>
      </c>
      <c r="J95" s="13" t="s">
        <v>1770</v>
      </c>
      <c r="K95" s="13" t="s">
        <v>1769</v>
      </c>
      <c r="L95" s="13" t="s">
        <v>1768</v>
      </c>
      <c r="M95" s="13" t="s">
        <v>1767</v>
      </c>
      <c r="N95" s="13" t="s">
        <v>1766</v>
      </c>
      <c r="O95" s="13">
        <v>8</v>
      </c>
      <c r="P95" s="4">
        <f>O95/100</f>
        <v>0.08</v>
      </c>
      <c r="Q95" s="5">
        <f>S94</f>
        <v>241.75239610590623</v>
      </c>
      <c r="R95" s="5">
        <f>Q95*P95*$T$1</f>
        <v>29.010287532708745</v>
      </c>
      <c r="S95" s="5">
        <f>R95+Q95</f>
        <v>270.76268363861499</v>
      </c>
      <c r="T95" s="5"/>
      <c r="U95" s="4"/>
      <c r="V95" s="13"/>
      <c r="W95" s="13"/>
      <c r="X95" s="13" t="s">
        <v>1765</v>
      </c>
      <c r="Y95" s="13" t="s">
        <v>2</v>
      </c>
      <c r="Z95" s="13" t="s">
        <v>1764</v>
      </c>
      <c r="AA95" s="13" t="s">
        <v>1763</v>
      </c>
      <c r="AB95" s="12">
        <v>45870</v>
      </c>
    </row>
    <row r="96" spans="1:28" x14ac:dyDescent="0.3">
      <c r="A96" s="11">
        <v>95</v>
      </c>
      <c r="B96" s="9" t="s">
        <v>11</v>
      </c>
      <c r="C96" s="10">
        <v>45873.958333333336</v>
      </c>
      <c r="D96" s="10">
        <v>45874.072916666664</v>
      </c>
      <c r="E96" s="10">
        <v>45874.916666666664</v>
      </c>
      <c r="F96" s="9" t="s">
        <v>1762</v>
      </c>
      <c r="G96" s="9" t="s">
        <v>1761</v>
      </c>
      <c r="H96" s="9" t="s">
        <v>1759</v>
      </c>
      <c r="I96" s="9" t="s">
        <v>1760</v>
      </c>
      <c r="J96" s="9" t="s">
        <v>1760</v>
      </c>
      <c r="K96" s="9" t="s">
        <v>1759</v>
      </c>
      <c r="L96" s="9" t="s">
        <v>1758</v>
      </c>
      <c r="M96" s="9" t="s">
        <v>1757</v>
      </c>
      <c r="N96" s="9" t="s">
        <v>1756</v>
      </c>
      <c r="O96" s="9">
        <v>6</v>
      </c>
      <c r="P96" s="4">
        <f>O96/100</f>
        <v>0.06</v>
      </c>
      <c r="Q96" s="5">
        <f>S95</f>
        <v>270.76268363861499</v>
      </c>
      <c r="R96" s="5">
        <f>Q96*P96*$T$1</f>
        <v>24.368641527475347</v>
      </c>
      <c r="S96" s="5">
        <f>R96+Q96</f>
        <v>295.13132516609033</v>
      </c>
      <c r="T96" s="5"/>
      <c r="U96" s="4"/>
      <c r="V96" s="9"/>
      <c r="W96" s="9"/>
      <c r="X96" s="9" t="s">
        <v>1755</v>
      </c>
      <c r="Y96" s="9" t="s">
        <v>2</v>
      </c>
      <c r="Z96" s="9" t="s">
        <v>1754</v>
      </c>
      <c r="AA96" s="9" t="s">
        <v>1700</v>
      </c>
      <c r="AB96" s="8">
        <v>45870</v>
      </c>
    </row>
    <row r="97" spans="1:28" x14ac:dyDescent="0.3">
      <c r="A97" s="15">
        <v>96</v>
      </c>
      <c r="B97" s="13" t="s">
        <v>22</v>
      </c>
      <c r="C97" s="14">
        <v>45874.479166666664</v>
      </c>
      <c r="D97" s="14">
        <v>45874.583333333336</v>
      </c>
      <c r="E97" s="14">
        <v>45876.4375</v>
      </c>
      <c r="F97" s="13" t="s">
        <v>1753</v>
      </c>
      <c r="G97" s="13" t="s">
        <v>1752</v>
      </c>
      <c r="H97" s="13" t="s">
        <v>1750</v>
      </c>
      <c r="I97" s="13" t="s">
        <v>1751</v>
      </c>
      <c r="J97" s="13" t="s">
        <v>1751</v>
      </c>
      <c r="K97" s="13" t="s">
        <v>1750</v>
      </c>
      <c r="L97" s="13" t="s">
        <v>1749</v>
      </c>
      <c r="M97" s="13" t="s">
        <v>1748</v>
      </c>
      <c r="N97" s="13" t="s">
        <v>1747</v>
      </c>
      <c r="O97" s="13">
        <v>-2.9516596720854502</v>
      </c>
      <c r="P97" s="4">
        <f>O97/100</f>
        <v>-2.9516596720854504E-2</v>
      </c>
      <c r="Q97" s="5">
        <f>S96</f>
        <v>295.13132516609033</v>
      </c>
      <c r="R97" s="5">
        <f>Q97*P97*$T$1</f>
        <v>-13.066908456928299</v>
      </c>
      <c r="S97" s="5">
        <f>R97+Q97</f>
        <v>282.06441670916206</v>
      </c>
      <c r="T97" s="5"/>
      <c r="U97" s="4"/>
      <c r="V97" s="13"/>
      <c r="W97" s="13"/>
      <c r="X97" s="13" t="s">
        <v>1746</v>
      </c>
      <c r="Y97" s="13" t="s">
        <v>63</v>
      </c>
      <c r="Z97" s="13" t="s">
        <v>1745</v>
      </c>
      <c r="AA97" s="13" t="s">
        <v>1718</v>
      </c>
      <c r="AB97" s="12">
        <v>45870</v>
      </c>
    </row>
    <row r="98" spans="1:28" x14ac:dyDescent="0.3">
      <c r="A98" s="11">
        <v>97</v>
      </c>
      <c r="B98" s="9" t="s">
        <v>42</v>
      </c>
      <c r="C98" s="10">
        <v>45874.458333333336</v>
      </c>
      <c r="D98" s="10">
        <v>45874.583333333336</v>
      </c>
      <c r="E98" s="10">
        <v>45874.6875</v>
      </c>
      <c r="F98" s="9" t="s">
        <v>1744</v>
      </c>
      <c r="G98" s="9" t="s">
        <v>1743</v>
      </c>
      <c r="H98" s="9" t="s">
        <v>1741</v>
      </c>
      <c r="I98" s="9" t="s">
        <v>1742</v>
      </c>
      <c r="J98" s="9" t="s">
        <v>1742</v>
      </c>
      <c r="K98" s="9" t="s">
        <v>1741</v>
      </c>
      <c r="L98" s="9" t="s">
        <v>1740</v>
      </c>
      <c r="M98" s="9" t="s">
        <v>1739</v>
      </c>
      <c r="N98" s="9" t="s">
        <v>1738</v>
      </c>
      <c r="O98" s="9">
        <v>8</v>
      </c>
      <c r="P98" s="4">
        <f>O98/100</f>
        <v>0.08</v>
      </c>
      <c r="Q98" s="5">
        <f>S97</f>
        <v>282.06441670916206</v>
      </c>
      <c r="R98" s="5">
        <f>Q98*P98*$T$1</f>
        <v>33.84773000509945</v>
      </c>
      <c r="S98" s="5">
        <f>R98+Q98</f>
        <v>315.9121467142615</v>
      </c>
      <c r="T98" s="5"/>
      <c r="U98" s="4"/>
      <c r="V98" s="9"/>
      <c r="W98" s="9"/>
      <c r="X98" s="9" t="s">
        <v>1737</v>
      </c>
      <c r="Y98" s="9" t="s">
        <v>2</v>
      </c>
      <c r="Z98" s="9" t="s">
        <v>1736</v>
      </c>
      <c r="AA98" s="9" t="s">
        <v>1727</v>
      </c>
      <c r="AB98" s="8">
        <v>45870</v>
      </c>
    </row>
    <row r="99" spans="1:28" x14ac:dyDescent="0.3">
      <c r="A99" s="15">
        <v>98</v>
      </c>
      <c r="B99" s="13" t="s">
        <v>42</v>
      </c>
      <c r="C99" s="14">
        <v>45874.989583333336</v>
      </c>
      <c r="D99" s="14">
        <v>45875.197916666664</v>
      </c>
      <c r="E99" s="14">
        <v>45875.65625</v>
      </c>
      <c r="F99" s="13" t="s">
        <v>1735</v>
      </c>
      <c r="G99" s="13" t="s">
        <v>1734</v>
      </c>
      <c r="H99" s="13" t="s">
        <v>1732</v>
      </c>
      <c r="I99" s="13" t="s">
        <v>1733</v>
      </c>
      <c r="J99" s="13" t="s">
        <v>1733</v>
      </c>
      <c r="K99" s="13" t="s">
        <v>1732</v>
      </c>
      <c r="L99" s="13" t="s">
        <v>1731</v>
      </c>
      <c r="M99" s="13" t="s">
        <v>1730</v>
      </c>
      <c r="N99" s="13" t="s">
        <v>1729</v>
      </c>
      <c r="O99" s="13">
        <v>-6.8045937793217899</v>
      </c>
      <c r="P99" s="4">
        <f>O99/100</f>
        <v>-6.8045937793217895E-2</v>
      </c>
      <c r="Q99" s="5">
        <f>S98</f>
        <v>315.9121467142615</v>
      </c>
      <c r="R99" s="5">
        <f>Q99*P99*$T$1</f>
        <v>-32.244807425160843</v>
      </c>
      <c r="S99" s="5">
        <f>R99+Q99</f>
        <v>283.66733928910065</v>
      </c>
      <c r="T99" s="5"/>
      <c r="U99" s="4"/>
      <c r="V99" s="13"/>
      <c r="W99" s="13"/>
      <c r="X99" s="13" t="s">
        <v>1728</v>
      </c>
      <c r="Y99" s="13" t="s">
        <v>63</v>
      </c>
      <c r="Z99" s="13" t="s">
        <v>1727</v>
      </c>
      <c r="AA99" s="13" t="s">
        <v>1682</v>
      </c>
      <c r="AB99" s="12">
        <v>45870</v>
      </c>
    </row>
    <row r="100" spans="1:28" x14ac:dyDescent="0.3">
      <c r="A100" s="11">
        <v>99</v>
      </c>
      <c r="B100" s="9" t="s">
        <v>22</v>
      </c>
      <c r="C100" s="10">
        <v>45875.854166666664</v>
      </c>
      <c r="D100" s="10">
        <v>45876.072916666664</v>
      </c>
      <c r="E100" s="10">
        <v>45876.416666666664</v>
      </c>
      <c r="F100" s="9" t="s">
        <v>1726</v>
      </c>
      <c r="G100" s="9" t="s">
        <v>1725</v>
      </c>
      <c r="H100" s="9" t="s">
        <v>1723</v>
      </c>
      <c r="I100" s="9" t="s">
        <v>1724</v>
      </c>
      <c r="J100" s="9" t="s">
        <v>1724</v>
      </c>
      <c r="K100" s="9" t="s">
        <v>1723</v>
      </c>
      <c r="L100" s="9" t="s">
        <v>1722</v>
      </c>
      <c r="M100" s="9" t="s">
        <v>1721</v>
      </c>
      <c r="N100" s="9" t="s">
        <v>1720</v>
      </c>
      <c r="O100" s="9">
        <v>-1.4126604749148399</v>
      </c>
      <c r="P100" s="4">
        <f>O100/100</f>
        <v>-1.4126604749148399E-2</v>
      </c>
      <c r="Q100" s="5">
        <f>S99</f>
        <v>283.66733928910065</v>
      </c>
      <c r="R100" s="5">
        <f>Q100*P100*$T$1</f>
        <v>-6.0108845735695491</v>
      </c>
      <c r="S100" s="5">
        <f>R100+Q100</f>
        <v>277.65645471553108</v>
      </c>
      <c r="T100" s="5"/>
      <c r="U100" s="4"/>
      <c r="V100" s="9"/>
      <c r="W100" s="9"/>
      <c r="X100" s="9" t="s">
        <v>1719</v>
      </c>
      <c r="Y100" s="9" t="s">
        <v>63</v>
      </c>
      <c r="Z100" s="9" t="s">
        <v>1718</v>
      </c>
      <c r="AA100" s="9" t="s">
        <v>1709</v>
      </c>
      <c r="AB100" s="8">
        <v>45870</v>
      </c>
    </row>
    <row r="101" spans="1:28" x14ac:dyDescent="0.3">
      <c r="A101" s="15">
        <v>100</v>
      </c>
      <c r="B101" s="13" t="s">
        <v>22</v>
      </c>
      <c r="C101" s="14">
        <v>45876.489583333336</v>
      </c>
      <c r="D101" s="14">
        <v>45876.541666666664</v>
      </c>
      <c r="E101" s="14">
        <v>45877.020833333336</v>
      </c>
      <c r="F101" s="13" t="s">
        <v>1717</v>
      </c>
      <c r="G101" s="13" t="s">
        <v>1716</v>
      </c>
      <c r="H101" s="13" t="s">
        <v>1714</v>
      </c>
      <c r="I101" s="13" t="s">
        <v>1715</v>
      </c>
      <c r="J101" s="13" t="s">
        <v>1715</v>
      </c>
      <c r="K101" s="13" t="s">
        <v>1714</v>
      </c>
      <c r="L101" s="13" t="s">
        <v>1713</v>
      </c>
      <c r="M101" s="13" t="s">
        <v>1712</v>
      </c>
      <c r="N101" s="13" t="s">
        <v>1711</v>
      </c>
      <c r="O101" s="13">
        <v>-1.08748695345619</v>
      </c>
      <c r="P101" s="4">
        <f>O101/100</f>
        <v>-1.0874869534561899E-2</v>
      </c>
      <c r="Q101" s="5">
        <f>S100</f>
        <v>277.65645471553108</v>
      </c>
      <c r="R101" s="5">
        <f>Q101*P101*$T$1</f>
        <v>-4.5292165806905924</v>
      </c>
      <c r="S101" s="5">
        <f>R101+Q101</f>
        <v>273.12723813484047</v>
      </c>
      <c r="T101" s="5"/>
      <c r="U101" s="4"/>
      <c r="V101" s="13"/>
      <c r="W101" s="13"/>
      <c r="X101" s="13" t="s">
        <v>1710</v>
      </c>
      <c r="Y101" s="13" t="s">
        <v>63</v>
      </c>
      <c r="Z101" s="13" t="s">
        <v>1709</v>
      </c>
      <c r="AA101" s="13" t="s">
        <v>1664</v>
      </c>
      <c r="AB101" s="12">
        <v>45870</v>
      </c>
    </row>
    <row r="102" spans="1:28" x14ac:dyDescent="0.3">
      <c r="A102" s="11">
        <v>101</v>
      </c>
      <c r="B102" s="9" t="s">
        <v>11</v>
      </c>
      <c r="C102" s="10">
        <v>45876.572916666664</v>
      </c>
      <c r="D102" s="10">
        <v>45876.604166666664</v>
      </c>
      <c r="E102" s="10">
        <v>45876.8125</v>
      </c>
      <c r="F102" s="9" t="s">
        <v>1708</v>
      </c>
      <c r="G102" s="9" t="s">
        <v>1707</v>
      </c>
      <c r="H102" s="9" t="s">
        <v>1705</v>
      </c>
      <c r="I102" s="9" t="s">
        <v>1706</v>
      </c>
      <c r="J102" s="9" t="s">
        <v>1706</v>
      </c>
      <c r="K102" s="9" t="s">
        <v>1705</v>
      </c>
      <c r="L102" s="9" t="s">
        <v>1704</v>
      </c>
      <c r="M102" s="9" t="s">
        <v>1703</v>
      </c>
      <c r="N102" s="9" t="s">
        <v>1702</v>
      </c>
      <c r="O102" s="9">
        <v>-0.80154444910051803</v>
      </c>
      <c r="P102" s="4">
        <f>O102/100</f>
        <v>-8.015444491005181E-3</v>
      </c>
      <c r="Q102" s="5">
        <f>S101</f>
        <v>273.12723813484047</v>
      </c>
      <c r="R102" s="5">
        <f>Q102*P102*$T$1</f>
        <v>-3.2838543243770508</v>
      </c>
      <c r="S102" s="5">
        <f>R102+Q102</f>
        <v>269.84338381046342</v>
      </c>
      <c r="T102" s="5"/>
      <c r="U102" s="4"/>
      <c r="V102" s="9"/>
      <c r="W102" s="9"/>
      <c r="X102" s="9" t="s">
        <v>1701</v>
      </c>
      <c r="Y102" s="9" t="s">
        <v>63</v>
      </c>
      <c r="Z102" s="9" t="s">
        <v>1700</v>
      </c>
      <c r="AA102" s="9" t="s">
        <v>1673</v>
      </c>
      <c r="AB102" s="8">
        <v>45870</v>
      </c>
    </row>
    <row r="103" spans="1:28" x14ac:dyDescent="0.3">
      <c r="A103" s="15">
        <v>102</v>
      </c>
      <c r="B103" s="13" t="s">
        <v>108</v>
      </c>
      <c r="C103" s="14">
        <v>45876.552083333336</v>
      </c>
      <c r="D103" s="14">
        <v>45876.625</v>
      </c>
      <c r="E103" s="14">
        <v>45876.885416666664</v>
      </c>
      <c r="F103" s="13" t="s">
        <v>1699</v>
      </c>
      <c r="G103" s="13" t="s">
        <v>1698</v>
      </c>
      <c r="H103" s="13" t="s">
        <v>1696</v>
      </c>
      <c r="I103" s="13" t="s">
        <v>1697</v>
      </c>
      <c r="J103" s="13" t="s">
        <v>1697</v>
      </c>
      <c r="K103" s="13" t="s">
        <v>1696</v>
      </c>
      <c r="L103" s="13" t="s">
        <v>1695</v>
      </c>
      <c r="M103" s="13" t="s">
        <v>1694</v>
      </c>
      <c r="N103" s="13" t="s">
        <v>1693</v>
      </c>
      <c r="O103" s="13">
        <v>-0.90997939669289296</v>
      </c>
      <c r="P103" s="4">
        <f>O103/100</f>
        <v>-9.0997939669289294E-3</v>
      </c>
      <c r="Q103" s="5">
        <f>S102</f>
        <v>269.84338381046342</v>
      </c>
      <c r="R103" s="5">
        <f>Q103*P103*$T$1</f>
        <v>-3.6832787940212137</v>
      </c>
      <c r="S103" s="5">
        <f>R103+Q103</f>
        <v>266.16010501644223</v>
      </c>
      <c r="T103" s="5"/>
      <c r="U103" s="4"/>
      <c r="V103" s="13"/>
      <c r="W103" s="13"/>
      <c r="X103" s="13" t="s">
        <v>1692</v>
      </c>
      <c r="Y103" s="13" t="s">
        <v>63</v>
      </c>
      <c r="Z103" s="13" t="s">
        <v>1691</v>
      </c>
      <c r="AA103" s="13" t="s">
        <v>1637</v>
      </c>
      <c r="AB103" s="12">
        <v>45870</v>
      </c>
    </row>
    <row r="104" spans="1:28" x14ac:dyDescent="0.3">
      <c r="A104" s="11">
        <v>103</v>
      </c>
      <c r="B104" s="9" t="s">
        <v>42</v>
      </c>
      <c r="C104" s="10">
        <v>45876.572916666664</v>
      </c>
      <c r="D104" s="10">
        <v>45876.822916666664</v>
      </c>
      <c r="E104" s="10">
        <v>45876.854166666664</v>
      </c>
      <c r="F104" s="9" t="s">
        <v>1690</v>
      </c>
      <c r="G104" s="9" t="s">
        <v>1689</v>
      </c>
      <c r="H104" s="9" t="s">
        <v>1687</v>
      </c>
      <c r="I104" s="9" t="s">
        <v>1688</v>
      </c>
      <c r="J104" s="9" t="s">
        <v>1688</v>
      </c>
      <c r="K104" s="9" t="s">
        <v>1687</v>
      </c>
      <c r="L104" s="9" t="s">
        <v>1686</v>
      </c>
      <c r="M104" s="9" t="s">
        <v>1685</v>
      </c>
      <c r="N104" s="9" t="s">
        <v>1684</v>
      </c>
      <c r="O104" s="9">
        <v>-1.0102609121130399</v>
      </c>
      <c r="P104" s="4">
        <f>O104/100</f>
        <v>-1.0102609121130399E-2</v>
      </c>
      <c r="Q104" s="5">
        <f>S103</f>
        <v>266.16010501644223</v>
      </c>
      <c r="R104" s="5">
        <f>Q104*P104*$T$1</f>
        <v>-4.0333672569302017</v>
      </c>
      <c r="S104" s="5">
        <f>R104+Q104</f>
        <v>262.12673775951203</v>
      </c>
      <c r="T104" s="5"/>
      <c r="U104" s="4"/>
      <c r="V104" s="9"/>
      <c r="W104" s="9"/>
      <c r="X104" s="9" t="s">
        <v>1683</v>
      </c>
      <c r="Y104" s="9" t="s">
        <v>63</v>
      </c>
      <c r="Z104" s="9" t="s">
        <v>1682</v>
      </c>
      <c r="AA104" s="9" t="s">
        <v>1655</v>
      </c>
      <c r="AB104" s="8">
        <v>45870</v>
      </c>
    </row>
    <row r="105" spans="1:28" x14ac:dyDescent="0.3">
      <c r="A105" s="15">
        <v>104</v>
      </c>
      <c r="B105" s="13" t="s">
        <v>11</v>
      </c>
      <c r="C105" s="14">
        <v>45877</v>
      </c>
      <c r="D105" s="14">
        <v>45877.010416666664</v>
      </c>
      <c r="E105" s="14">
        <v>45877.020833333336</v>
      </c>
      <c r="F105" s="13" t="s">
        <v>1681</v>
      </c>
      <c r="G105" s="13" t="s">
        <v>1680</v>
      </c>
      <c r="H105" s="13" t="s">
        <v>1678</v>
      </c>
      <c r="I105" s="13" t="s">
        <v>1679</v>
      </c>
      <c r="J105" s="13" t="s">
        <v>1679</v>
      </c>
      <c r="K105" s="13" t="s">
        <v>1678</v>
      </c>
      <c r="L105" s="13" t="s">
        <v>1677</v>
      </c>
      <c r="M105" s="13" t="s">
        <v>1676</v>
      </c>
      <c r="N105" s="13" t="s">
        <v>1675</v>
      </c>
      <c r="O105" s="13">
        <v>-0.62372286315793901</v>
      </c>
      <c r="P105" s="4">
        <f>O105/100</f>
        <v>-6.2372286315793904E-3</v>
      </c>
      <c r="Q105" s="5">
        <f>S104</f>
        <v>262.12673775951203</v>
      </c>
      <c r="R105" s="5">
        <f>Q105*P105*$T$1</f>
        <v>-2.4524165907841966</v>
      </c>
      <c r="S105" s="5">
        <f>R105+Q105</f>
        <v>259.67432116872783</v>
      </c>
      <c r="T105" s="5"/>
      <c r="U105" s="4"/>
      <c r="V105" s="13"/>
      <c r="W105" s="13"/>
      <c r="X105" s="13" t="s">
        <v>1674</v>
      </c>
      <c r="Y105" s="13" t="s">
        <v>63</v>
      </c>
      <c r="Z105" s="13" t="s">
        <v>1673</v>
      </c>
      <c r="AA105" s="13" t="s">
        <v>1646</v>
      </c>
      <c r="AB105" s="12">
        <v>45870</v>
      </c>
    </row>
    <row r="106" spans="1:28" x14ac:dyDescent="0.3">
      <c r="A106" s="11">
        <v>105</v>
      </c>
      <c r="B106" s="9" t="s">
        <v>22</v>
      </c>
      <c r="C106" s="10">
        <v>45876.947916666664</v>
      </c>
      <c r="D106" s="10">
        <v>45877.302083333336</v>
      </c>
      <c r="E106" s="10">
        <v>45877.583333333336</v>
      </c>
      <c r="F106" s="9" t="s">
        <v>1672</v>
      </c>
      <c r="G106" s="9" t="s">
        <v>1671</v>
      </c>
      <c r="H106" s="9" t="s">
        <v>1669</v>
      </c>
      <c r="I106" s="9" t="s">
        <v>1670</v>
      </c>
      <c r="J106" s="9" t="s">
        <v>1670</v>
      </c>
      <c r="K106" s="9" t="s">
        <v>1669</v>
      </c>
      <c r="L106" s="9" t="s">
        <v>1668</v>
      </c>
      <c r="M106" s="9" t="s">
        <v>1667</v>
      </c>
      <c r="N106" s="9" t="s">
        <v>1666</v>
      </c>
      <c r="O106" s="9">
        <v>-3.1141577180383901</v>
      </c>
      <c r="P106" s="4">
        <f>O106/100</f>
        <v>-3.1141577180383902E-2</v>
      </c>
      <c r="Q106" s="5">
        <f>S105</f>
        <v>259.67432116872783</v>
      </c>
      <c r="R106" s="5">
        <f>Q106*P106*$T$1</f>
        <v>-12.130001871659601</v>
      </c>
      <c r="S106" s="5">
        <f>R106+Q106</f>
        <v>247.54431929706823</v>
      </c>
      <c r="T106" s="5"/>
      <c r="U106" s="4"/>
      <c r="V106" s="9"/>
      <c r="W106" s="9"/>
      <c r="X106" s="9" t="s">
        <v>1665</v>
      </c>
      <c r="Y106" s="9" t="s">
        <v>63</v>
      </c>
      <c r="Z106" s="9" t="s">
        <v>1664</v>
      </c>
      <c r="AA106" s="9" t="s">
        <v>1601</v>
      </c>
      <c r="AB106" s="8">
        <v>45870</v>
      </c>
    </row>
    <row r="107" spans="1:28" x14ac:dyDescent="0.3">
      <c r="A107" s="15">
        <v>106</v>
      </c>
      <c r="B107" s="13" t="s">
        <v>42</v>
      </c>
      <c r="C107" s="14">
        <v>45876.989583333336</v>
      </c>
      <c r="D107" s="14">
        <v>45877.552083333336</v>
      </c>
      <c r="E107" s="14">
        <v>45877.864583333336</v>
      </c>
      <c r="F107" s="13" t="s">
        <v>1663</v>
      </c>
      <c r="G107" s="13" t="s">
        <v>1662</v>
      </c>
      <c r="H107" s="13" t="s">
        <v>1660</v>
      </c>
      <c r="I107" s="13" t="s">
        <v>1661</v>
      </c>
      <c r="J107" s="13" t="s">
        <v>1661</v>
      </c>
      <c r="K107" s="13" t="s">
        <v>1660</v>
      </c>
      <c r="L107" s="13" t="s">
        <v>1659</v>
      </c>
      <c r="M107" s="13" t="s">
        <v>1658</v>
      </c>
      <c r="N107" s="13" t="s">
        <v>1657</v>
      </c>
      <c r="O107" s="13">
        <v>-3.51357214334198</v>
      </c>
      <c r="P107" s="4">
        <f>O107/100</f>
        <v>-3.5135721433419802E-2</v>
      </c>
      <c r="Q107" s="5">
        <f>S106</f>
        <v>247.54431929706823</v>
      </c>
      <c r="R107" s="5">
        <f>Q107*P107*$T$1</f>
        <v>-13.046472367870972</v>
      </c>
      <c r="S107" s="5">
        <f>R107+Q107</f>
        <v>234.49784692919727</v>
      </c>
      <c r="T107" s="5"/>
      <c r="U107" s="4"/>
      <c r="V107" s="13"/>
      <c r="W107" s="13"/>
      <c r="X107" s="13" t="s">
        <v>1656</v>
      </c>
      <c r="Y107" s="13" t="s">
        <v>63</v>
      </c>
      <c r="Z107" s="13" t="s">
        <v>1655</v>
      </c>
      <c r="AA107" s="13" t="s">
        <v>1619</v>
      </c>
      <c r="AB107" s="12">
        <v>45870</v>
      </c>
    </row>
    <row r="108" spans="1:28" x14ac:dyDescent="0.3">
      <c r="A108" s="11">
        <v>107</v>
      </c>
      <c r="B108" s="9" t="s">
        <v>11</v>
      </c>
      <c r="C108" s="10">
        <v>45877.572916666664</v>
      </c>
      <c r="D108" s="10">
        <v>45877.625</v>
      </c>
      <c r="E108" s="10">
        <v>45877.760416666664</v>
      </c>
      <c r="F108" s="9" t="s">
        <v>1654</v>
      </c>
      <c r="G108" s="9" t="s">
        <v>1653</v>
      </c>
      <c r="H108" s="9" t="s">
        <v>1651</v>
      </c>
      <c r="I108" s="9" t="s">
        <v>1652</v>
      </c>
      <c r="J108" s="9" t="s">
        <v>1652</v>
      </c>
      <c r="K108" s="9" t="s">
        <v>1651</v>
      </c>
      <c r="L108" s="9" t="s">
        <v>1650</v>
      </c>
      <c r="M108" s="9" t="s">
        <v>1649</v>
      </c>
      <c r="N108" s="9" t="s">
        <v>1648</v>
      </c>
      <c r="O108" s="9">
        <v>-3.1243055921268201</v>
      </c>
      <c r="P108" s="4">
        <f>O108/100</f>
        <v>-3.1243055921268203E-2</v>
      </c>
      <c r="Q108" s="5">
        <f>S107</f>
        <v>234.49784692919727</v>
      </c>
      <c r="R108" s="5">
        <f>Q108*P108*$T$1</f>
        <v>-10.989644017538852</v>
      </c>
      <c r="S108" s="5">
        <f>R108+Q108</f>
        <v>223.5082029116584</v>
      </c>
      <c r="T108" s="5"/>
      <c r="U108" s="4"/>
      <c r="V108" s="9"/>
      <c r="W108" s="9"/>
      <c r="X108" s="9" t="s">
        <v>1647</v>
      </c>
      <c r="Y108" s="9" t="s">
        <v>63</v>
      </c>
      <c r="Z108" s="9" t="s">
        <v>1646</v>
      </c>
      <c r="AA108" s="9" t="s">
        <v>1628</v>
      </c>
      <c r="AB108" s="8">
        <v>45870</v>
      </c>
    </row>
    <row r="109" spans="1:28" x14ac:dyDescent="0.3">
      <c r="A109" s="15">
        <v>108</v>
      </c>
      <c r="B109" s="13" t="s">
        <v>108</v>
      </c>
      <c r="C109" s="14">
        <v>45878.375</v>
      </c>
      <c r="D109" s="14">
        <v>45878.572916666664</v>
      </c>
      <c r="E109" s="14">
        <v>45878.854166666664</v>
      </c>
      <c r="F109" s="13" t="s">
        <v>1645</v>
      </c>
      <c r="G109" s="13" t="s">
        <v>1644</v>
      </c>
      <c r="H109" s="13" t="s">
        <v>1642</v>
      </c>
      <c r="I109" s="13" t="s">
        <v>1643</v>
      </c>
      <c r="J109" s="13" t="s">
        <v>1643</v>
      </c>
      <c r="K109" s="13" t="s">
        <v>1642</v>
      </c>
      <c r="L109" s="13" t="s">
        <v>1641</v>
      </c>
      <c r="M109" s="13" t="s">
        <v>1640</v>
      </c>
      <c r="N109" s="13" t="s">
        <v>1639</v>
      </c>
      <c r="O109" s="13">
        <v>-1.37997593502456</v>
      </c>
      <c r="P109" s="4">
        <f>O109/100</f>
        <v>-1.37997593502456E-2</v>
      </c>
      <c r="Q109" s="5">
        <f>S108</f>
        <v>223.5082029116584</v>
      </c>
      <c r="R109" s="5">
        <f>Q109*P109*$T$1</f>
        <v>-4.6265391194801229</v>
      </c>
      <c r="S109" s="5">
        <f>R109+Q109</f>
        <v>218.88166379217827</v>
      </c>
      <c r="T109" s="5"/>
      <c r="U109" s="4"/>
      <c r="V109" s="13"/>
      <c r="W109" s="13"/>
      <c r="X109" s="13" t="s">
        <v>1638</v>
      </c>
      <c r="Y109" s="13" t="s">
        <v>63</v>
      </c>
      <c r="Z109" s="13" t="s">
        <v>1637</v>
      </c>
      <c r="AA109" s="13" t="s">
        <v>1574</v>
      </c>
      <c r="AB109" s="12">
        <v>45870</v>
      </c>
    </row>
    <row r="110" spans="1:28" x14ac:dyDescent="0.3">
      <c r="A110" s="11">
        <v>109</v>
      </c>
      <c r="B110" s="9" t="s">
        <v>11</v>
      </c>
      <c r="C110" s="10">
        <v>45878.53125</v>
      </c>
      <c r="D110" s="10">
        <v>45878.583333333336</v>
      </c>
      <c r="E110" s="10">
        <v>45878.677083333336</v>
      </c>
      <c r="F110" s="9" t="s">
        <v>1636</v>
      </c>
      <c r="G110" s="9" t="s">
        <v>1635</v>
      </c>
      <c r="H110" s="9" t="s">
        <v>1633</v>
      </c>
      <c r="I110" s="9" t="s">
        <v>1634</v>
      </c>
      <c r="J110" s="9" t="s">
        <v>1634</v>
      </c>
      <c r="K110" s="9" t="s">
        <v>1633</v>
      </c>
      <c r="L110" s="9" t="s">
        <v>1632</v>
      </c>
      <c r="M110" s="9" t="s">
        <v>1631</v>
      </c>
      <c r="N110" s="9" t="s">
        <v>1630</v>
      </c>
      <c r="O110" s="9">
        <v>-2.8625609047521401</v>
      </c>
      <c r="P110" s="4">
        <f>O110/100</f>
        <v>-2.86256090475214E-2</v>
      </c>
      <c r="Q110" s="5">
        <f>S109</f>
        <v>218.88166379217827</v>
      </c>
      <c r="R110" s="5">
        <f>Q110*P110*$T$1</f>
        <v>-9.3984314030788738</v>
      </c>
      <c r="S110" s="5">
        <f>R110+Q110</f>
        <v>209.48323238909938</v>
      </c>
      <c r="T110" s="5"/>
      <c r="U110" s="4"/>
      <c r="V110" s="9"/>
      <c r="W110" s="9"/>
      <c r="X110" s="9" t="s">
        <v>1629</v>
      </c>
      <c r="Y110" s="9" t="s">
        <v>63</v>
      </c>
      <c r="Z110" s="9" t="s">
        <v>1628</v>
      </c>
      <c r="AA110" s="9" t="s">
        <v>1583</v>
      </c>
      <c r="AB110" s="8">
        <v>45870</v>
      </c>
    </row>
    <row r="111" spans="1:28" x14ac:dyDescent="0.3">
      <c r="A111" s="15">
        <v>110</v>
      </c>
      <c r="B111" s="13" t="s">
        <v>42</v>
      </c>
      <c r="C111" s="14">
        <v>45878.354166666664</v>
      </c>
      <c r="D111" s="14">
        <v>45878.614583333336</v>
      </c>
      <c r="E111" s="14">
        <v>45878.864583333336</v>
      </c>
      <c r="F111" s="13" t="s">
        <v>1627</v>
      </c>
      <c r="G111" s="13" t="s">
        <v>1626</v>
      </c>
      <c r="H111" s="13" t="s">
        <v>1624</v>
      </c>
      <c r="I111" s="13" t="s">
        <v>1625</v>
      </c>
      <c r="J111" s="13" t="s">
        <v>1625</v>
      </c>
      <c r="K111" s="13" t="s">
        <v>1624</v>
      </c>
      <c r="L111" s="13" t="s">
        <v>1623</v>
      </c>
      <c r="M111" s="13" t="s">
        <v>1622</v>
      </c>
      <c r="N111" s="13" t="s">
        <v>1621</v>
      </c>
      <c r="O111" s="13">
        <v>-2.4671425885221199</v>
      </c>
      <c r="P111" s="4">
        <f>O111/100</f>
        <v>-2.4671425885221199E-2</v>
      </c>
      <c r="Q111" s="5">
        <f>S110</f>
        <v>209.48323238909938</v>
      </c>
      <c r="R111" s="5">
        <f>Q111*P111*$T$1</f>
        <v>-7.7523750631263511</v>
      </c>
      <c r="S111" s="5">
        <f>R111+Q111</f>
        <v>201.73085732597303</v>
      </c>
      <c r="T111" s="5"/>
      <c r="U111" s="4"/>
      <c r="V111" s="13"/>
      <c r="W111" s="13"/>
      <c r="X111" s="13" t="s">
        <v>1620</v>
      </c>
      <c r="Y111" s="13" t="s">
        <v>63</v>
      </c>
      <c r="Z111" s="13" t="s">
        <v>1619</v>
      </c>
      <c r="AA111" s="13" t="s">
        <v>1610</v>
      </c>
      <c r="AB111" s="12">
        <v>45870</v>
      </c>
    </row>
    <row r="112" spans="1:28" x14ac:dyDescent="0.3">
      <c r="A112" s="11">
        <v>111</v>
      </c>
      <c r="B112" s="9" t="s">
        <v>42</v>
      </c>
      <c r="C112" s="10">
        <v>45878.864583333336</v>
      </c>
      <c r="D112" s="10">
        <v>45878.90625</v>
      </c>
      <c r="E112" s="10">
        <v>45880.322916666664</v>
      </c>
      <c r="F112" s="9" t="s">
        <v>1618</v>
      </c>
      <c r="G112" s="9" t="s">
        <v>1617</v>
      </c>
      <c r="H112" s="9" t="s">
        <v>1615</v>
      </c>
      <c r="I112" s="9" t="s">
        <v>1616</v>
      </c>
      <c r="J112" s="9" t="s">
        <v>1616</v>
      </c>
      <c r="K112" s="9" t="s">
        <v>1615</v>
      </c>
      <c r="L112" s="9" t="s">
        <v>1614</v>
      </c>
      <c r="M112" s="9" t="s">
        <v>1613</v>
      </c>
      <c r="N112" s="9" t="s">
        <v>1612</v>
      </c>
      <c r="O112" s="9">
        <v>8</v>
      </c>
      <c r="P112" s="4">
        <f>O112/100</f>
        <v>0.08</v>
      </c>
      <c r="Q112" s="5">
        <f>S111</f>
        <v>201.73085732597303</v>
      </c>
      <c r="R112" s="5">
        <f>Q112*P112*$T$1</f>
        <v>24.207702879116763</v>
      </c>
      <c r="S112" s="5">
        <f>R112+Q112</f>
        <v>225.9385602050898</v>
      </c>
      <c r="T112" s="5"/>
      <c r="U112" s="4"/>
      <c r="V112" s="9"/>
      <c r="W112" s="9"/>
      <c r="X112" s="9" t="s">
        <v>1611</v>
      </c>
      <c r="Y112" s="9" t="s">
        <v>2</v>
      </c>
      <c r="Z112" s="9" t="s">
        <v>1610</v>
      </c>
      <c r="AA112" s="9" t="s">
        <v>1556</v>
      </c>
      <c r="AB112" s="8">
        <v>45870</v>
      </c>
    </row>
    <row r="113" spans="1:28" x14ac:dyDescent="0.3">
      <c r="A113" s="15">
        <v>112</v>
      </c>
      <c r="B113" s="13" t="s">
        <v>22</v>
      </c>
      <c r="C113" s="14">
        <v>45878.395833333336</v>
      </c>
      <c r="D113" s="14">
        <v>45879.270833333336</v>
      </c>
      <c r="E113" s="14">
        <v>45880.895833333336</v>
      </c>
      <c r="F113" s="13" t="s">
        <v>1609</v>
      </c>
      <c r="G113" s="13" t="s">
        <v>1608</v>
      </c>
      <c r="H113" s="13" t="s">
        <v>1606</v>
      </c>
      <c r="I113" s="13" t="s">
        <v>1607</v>
      </c>
      <c r="J113" s="13" t="s">
        <v>1607</v>
      </c>
      <c r="K113" s="13" t="s">
        <v>1606</v>
      </c>
      <c r="L113" s="13" t="s">
        <v>1605</v>
      </c>
      <c r="M113" s="13" t="s">
        <v>1604</v>
      </c>
      <c r="N113" s="13" t="s">
        <v>1603</v>
      </c>
      <c r="O113" s="13">
        <v>8</v>
      </c>
      <c r="P113" s="4">
        <f>O113/100</f>
        <v>0.08</v>
      </c>
      <c r="Q113" s="5">
        <f>S112</f>
        <v>225.9385602050898</v>
      </c>
      <c r="R113" s="5">
        <f>Q113*P113*$T$1</f>
        <v>27.112627224610776</v>
      </c>
      <c r="S113" s="5">
        <f>R113+Q113</f>
        <v>253.05118742970058</v>
      </c>
      <c r="T113" s="5"/>
      <c r="U113" s="4"/>
      <c r="V113" s="13"/>
      <c r="W113" s="13"/>
      <c r="X113" s="13" t="s">
        <v>1602</v>
      </c>
      <c r="Y113" s="13" t="s">
        <v>2</v>
      </c>
      <c r="Z113" s="13" t="s">
        <v>1601</v>
      </c>
      <c r="AA113" s="13" t="s">
        <v>1592</v>
      </c>
      <c r="AB113" s="12">
        <v>45870</v>
      </c>
    </row>
    <row r="114" spans="1:28" x14ac:dyDescent="0.3">
      <c r="A114" s="11">
        <v>113</v>
      </c>
      <c r="B114" s="9" t="s">
        <v>22</v>
      </c>
      <c r="C114" s="10">
        <v>45879.8125</v>
      </c>
      <c r="D114" s="10">
        <v>45879.833333333336</v>
      </c>
      <c r="E114" s="10">
        <v>45879.854166666664</v>
      </c>
      <c r="F114" s="9" t="s">
        <v>1600</v>
      </c>
      <c r="G114" s="9" t="s">
        <v>1599</v>
      </c>
      <c r="H114" s="9" t="s">
        <v>1597</v>
      </c>
      <c r="I114" s="9" t="s">
        <v>1598</v>
      </c>
      <c r="J114" s="9" t="s">
        <v>1598</v>
      </c>
      <c r="K114" s="9" t="s">
        <v>1597</v>
      </c>
      <c r="L114" s="9" t="s">
        <v>1596</v>
      </c>
      <c r="M114" s="9" t="s">
        <v>1595</v>
      </c>
      <c r="N114" s="9" t="s">
        <v>1594</v>
      </c>
      <c r="O114" s="9">
        <v>-0.98650825645762796</v>
      </c>
      <c r="P114" s="4">
        <f>O114/100</f>
        <v>-9.8650825645762788E-3</v>
      </c>
      <c r="Q114" s="5">
        <f>S113</f>
        <v>253.05118742970058</v>
      </c>
      <c r="R114" s="5">
        <f>Q114*P114*$T$1</f>
        <v>-3.7445562855870946</v>
      </c>
      <c r="S114" s="5">
        <f>R114+Q114</f>
        <v>249.30663114411348</v>
      </c>
      <c r="T114" s="5"/>
      <c r="U114" s="4"/>
      <c r="V114" s="9"/>
      <c r="W114" s="9"/>
      <c r="X114" s="9" t="s">
        <v>1593</v>
      </c>
      <c r="Y114" s="9" t="s">
        <v>63</v>
      </c>
      <c r="Z114" s="9" t="s">
        <v>1592</v>
      </c>
      <c r="AA114" s="9" t="s">
        <v>1537</v>
      </c>
      <c r="AB114" s="8">
        <v>45870</v>
      </c>
    </row>
    <row r="115" spans="1:28" x14ac:dyDescent="0.3">
      <c r="A115" s="15">
        <v>114</v>
      </c>
      <c r="B115" s="13" t="s">
        <v>11</v>
      </c>
      <c r="C115" s="14">
        <v>45880.114583333336</v>
      </c>
      <c r="D115" s="14">
        <v>45880.354166666664</v>
      </c>
      <c r="E115" s="14">
        <v>45880.927083333336</v>
      </c>
      <c r="F115" s="13" t="s">
        <v>1591</v>
      </c>
      <c r="G115" s="13" t="s">
        <v>1590</v>
      </c>
      <c r="H115" s="13" t="s">
        <v>1588</v>
      </c>
      <c r="I115" s="13" t="s">
        <v>1589</v>
      </c>
      <c r="J115" s="13" t="s">
        <v>1589</v>
      </c>
      <c r="K115" s="13" t="s">
        <v>1588</v>
      </c>
      <c r="L115" s="13" t="s">
        <v>1587</v>
      </c>
      <c r="M115" s="13" t="s">
        <v>1586</v>
      </c>
      <c r="N115" s="13" t="s">
        <v>1585</v>
      </c>
      <c r="O115" s="13">
        <v>6</v>
      </c>
      <c r="P115" s="4">
        <f>O115/100</f>
        <v>0.06</v>
      </c>
      <c r="Q115" s="5">
        <f>S114</f>
        <v>249.30663114411348</v>
      </c>
      <c r="R115" s="5">
        <f>Q115*P115*$T$1</f>
        <v>22.437596802970212</v>
      </c>
      <c r="S115" s="5">
        <f>R115+Q115</f>
        <v>271.74422794708369</v>
      </c>
      <c r="T115" s="5"/>
      <c r="U115" s="4"/>
      <c r="V115" s="13"/>
      <c r="W115" s="13"/>
      <c r="X115" s="13" t="s">
        <v>1584</v>
      </c>
      <c r="Y115" s="13" t="s">
        <v>2</v>
      </c>
      <c r="Z115" s="13" t="s">
        <v>1583</v>
      </c>
      <c r="AA115" s="13" t="s">
        <v>1565</v>
      </c>
      <c r="AB115" s="12">
        <v>45870</v>
      </c>
    </row>
    <row r="116" spans="1:28" x14ac:dyDescent="0.3">
      <c r="A116" s="11">
        <v>115</v>
      </c>
      <c r="B116" s="9" t="s">
        <v>108</v>
      </c>
      <c r="C116" s="10">
        <v>45881.895833333336</v>
      </c>
      <c r="D116" s="10">
        <v>45882.041666666664</v>
      </c>
      <c r="E116" s="10">
        <v>45882.125</v>
      </c>
      <c r="F116" s="9" t="s">
        <v>1582</v>
      </c>
      <c r="G116" s="9" t="s">
        <v>1581</v>
      </c>
      <c r="H116" s="9" t="s">
        <v>1579</v>
      </c>
      <c r="I116" s="9" t="s">
        <v>1580</v>
      </c>
      <c r="J116" s="9" t="s">
        <v>1580</v>
      </c>
      <c r="K116" s="9" t="s">
        <v>1579</v>
      </c>
      <c r="L116" s="9" t="s">
        <v>1578</v>
      </c>
      <c r="M116" s="9" t="s">
        <v>1577</v>
      </c>
      <c r="N116" s="9" t="s">
        <v>1576</v>
      </c>
      <c r="O116" s="9">
        <v>-0.90239433635378596</v>
      </c>
      <c r="P116" s="4">
        <f>O116/100</f>
        <v>-9.0239433635378591E-3</v>
      </c>
      <c r="Q116" s="5">
        <f>S115</f>
        <v>271.74422794708369</v>
      </c>
      <c r="R116" s="5">
        <f>Q116*P116*$T$1</f>
        <v>-3.6783067835442074</v>
      </c>
      <c r="S116" s="5">
        <f>R116+Q116</f>
        <v>268.06592116353949</v>
      </c>
      <c r="T116" s="5"/>
      <c r="U116" s="4"/>
      <c r="V116" s="9"/>
      <c r="W116" s="9"/>
      <c r="X116" s="9" t="s">
        <v>1575</v>
      </c>
      <c r="Y116" s="9" t="s">
        <v>63</v>
      </c>
      <c r="Z116" s="9" t="s">
        <v>1574</v>
      </c>
      <c r="AA116" s="9" t="s">
        <v>1546</v>
      </c>
      <c r="AB116" s="8">
        <v>45870</v>
      </c>
    </row>
    <row r="117" spans="1:28" x14ac:dyDescent="0.3">
      <c r="A117" s="15">
        <v>116</v>
      </c>
      <c r="B117" s="13" t="s">
        <v>11</v>
      </c>
      <c r="C117" s="14">
        <v>45881.864583333336</v>
      </c>
      <c r="D117" s="14">
        <v>45882.041666666664</v>
      </c>
      <c r="E117" s="14">
        <v>45882.145833333336</v>
      </c>
      <c r="F117" s="13" t="s">
        <v>1573</v>
      </c>
      <c r="G117" s="13" t="s">
        <v>1572</v>
      </c>
      <c r="H117" s="13" t="s">
        <v>1570</v>
      </c>
      <c r="I117" s="13" t="s">
        <v>1571</v>
      </c>
      <c r="J117" s="13" t="s">
        <v>1571</v>
      </c>
      <c r="K117" s="13" t="s">
        <v>1570</v>
      </c>
      <c r="L117" s="13" t="s">
        <v>1569</v>
      </c>
      <c r="M117" s="13" t="s">
        <v>1568</v>
      </c>
      <c r="N117" s="13" t="s">
        <v>1567</v>
      </c>
      <c r="O117" s="13">
        <v>-1.3498519923129599</v>
      </c>
      <c r="P117" s="4">
        <f>O117/100</f>
        <v>-1.3498519923129599E-2</v>
      </c>
      <c r="Q117" s="5">
        <f>S116</f>
        <v>268.06592116353949</v>
      </c>
      <c r="R117" s="5">
        <f>Q117*P117*$T$1</f>
        <v>-5.4277397663071891</v>
      </c>
      <c r="S117" s="5">
        <f>R117+Q117</f>
        <v>262.6381813972323</v>
      </c>
      <c r="T117" s="5"/>
      <c r="U117" s="4"/>
      <c r="V117" s="13"/>
      <c r="W117" s="13"/>
      <c r="X117" s="13" t="s">
        <v>1566</v>
      </c>
      <c r="Y117" s="13" t="s">
        <v>63</v>
      </c>
      <c r="Z117" s="13" t="s">
        <v>1565</v>
      </c>
      <c r="AA117" s="13" t="s">
        <v>1528</v>
      </c>
      <c r="AB117" s="12">
        <v>45870</v>
      </c>
    </row>
    <row r="118" spans="1:28" x14ac:dyDescent="0.3">
      <c r="A118" s="11">
        <v>117</v>
      </c>
      <c r="B118" s="9" t="s">
        <v>42</v>
      </c>
      <c r="C118" s="10">
        <v>45882.052083333336</v>
      </c>
      <c r="D118" s="10">
        <v>45882.083333333336</v>
      </c>
      <c r="E118" s="10">
        <v>45882.166666666664</v>
      </c>
      <c r="F118" s="9" t="s">
        <v>1564</v>
      </c>
      <c r="G118" s="9" t="s">
        <v>1563</v>
      </c>
      <c r="H118" s="9" t="s">
        <v>1561</v>
      </c>
      <c r="I118" s="9" t="s">
        <v>1562</v>
      </c>
      <c r="J118" s="9" t="s">
        <v>1562</v>
      </c>
      <c r="K118" s="9" t="s">
        <v>1561</v>
      </c>
      <c r="L118" s="9" t="s">
        <v>1560</v>
      </c>
      <c r="M118" s="9" t="s">
        <v>1559</v>
      </c>
      <c r="N118" s="9" t="s">
        <v>1558</v>
      </c>
      <c r="O118" s="9">
        <v>-2.75348406104141</v>
      </c>
      <c r="P118" s="4">
        <f>O118/100</f>
        <v>-2.7534840610414099E-2</v>
      </c>
      <c r="Q118" s="5">
        <f>S117</f>
        <v>262.6381813972323</v>
      </c>
      <c r="R118" s="5">
        <f>Q118*P118*$T$1</f>
        <v>-10.847550694472725</v>
      </c>
      <c r="S118" s="5">
        <f>R118+Q118</f>
        <v>251.79063070275959</v>
      </c>
      <c r="T118" s="5"/>
      <c r="U118" s="4"/>
      <c r="V118" s="9"/>
      <c r="W118" s="9"/>
      <c r="X118" s="9" t="s">
        <v>1557</v>
      </c>
      <c r="Y118" s="9" t="s">
        <v>63</v>
      </c>
      <c r="Z118" s="9" t="s">
        <v>1556</v>
      </c>
      <c r="AA118" s="9" t="s">
        <v>1555</v>
      </c>
      <c r="AB118" s="8">
        <v>45870</v>
      </c>
    </row>
    <row r="119" spans="1:28" x14ac:dyDescent="0.3">
      <c r="A119" s="15">
        <v>118</v>
      </c>
      <c r="B119" s="13" t="s">
        <v>108</v>
      </c>
      <c r="C119" s="14">
        <v>45882.4375</v>
      </c>
      <c r="D119" s="14">
        <v>45882.53125</v>
      </c>
      <c r="E119" s="14">
        <v>45883.104166666664</v>
      </c>
      <c r="F119" s="13" t="s">
        <v>1554</v>
      </c>
      <c r="G119" s="13" t="s">
        <v>1553</v>
      </c>
      <c r="H119" s="13" t="s">
        <v>1551</v>
      </c>
      <c r="I119" s="13" t="s">
        <v>1552</v>
      </c>
      <c r="J119" s="13" t="s">
        <v>1552</v>
      </c>
      <c r="K119" s="13" t="s">
        <v>1551</v>
      </c>
      <c r="L119" s="13" t="s">
        <v>1550</v>
      </c>
      <c r="M119" s="13" t="s">
        <v>1549</v>
      </c>
      <c r="N119" s="13" t="s">
        <v>1548</v>
      </c>
      <c r="O119" s="13">
        <v>-1.7263986013985899</v>
      </c>
      <c r="P119" s="4">
        <f>O119/100</f>
        <v>-1.7263986013985898E-2</v>
      </c>
      <c r="Q119" s="5">
        <f>S118</f>
        <v>251.79063070275959</v>
      </c>
      <c r="R119" s="5">
        <f>Q119*P119*$T$1</f>
        <v>-6.5203648903576941</v>
      </c>
      <c r="S119" s="5">
        <f>R119+Q119</f>
        <v>245.2702658124019</v>
      </c>
      <c r="T119" s="5"/>
      <c r="U119" s="4"/>
      <c r="V119" s="13"/>
      <c r="W119" s="13"/>
      <c r="X119" s="13" t="s">
        <v>1547</v>
      </c>
      <c r="Y119" s="13" t="s">
        <v>63</v>
      </c>
      <c r="Z119" s="13" t="s">
        <v>1546</v>
      </c>
      <c r="AA119" s="13" t="s">
        <v>1455</v>
      </c>
      <c r="AB119" s="12">
        <v>45870</v>
      </c>
    </row>
    <row r="120" spans="1:28" x14ac:dyDescent="0.3">
      <c r="A120" s="11">
        <v>119</v>
      </c>
      <c r="B120" s="9" t="s">
        <v>22</v>
      </c>
      <c r="C120" s="10">
        <v>45882.40625</v>
      </c>
      <c r="D120" s="10">
        <v>45882.5625</v>
      </c>
      <c r="E120" s="10">
        <v>45883.520833333336</v>
      </c>
      <c r="F120" s="9" t="s">
        <v>1545</v>
      </c>
      <c r="G120" s="9" t="s">
        <v>1544</v>
      </c>
      <c r="H120" s="9" t="s">
        <v>1542</v>
      </c>
      <c r="I120" s="9" t="s">
        <v>1543</v>
      </c>
      <c r="J120" s="9" t="s">
        <v>1543</v>
      </c>
      <c r="K120" s="9" t="s">
        <v>1542</v>
      </c>
      <c r="L120" s="9" t="s">
        <v>1541</v>
      </c>
      <c r="M120" s="9" t="s">
        <v>1540</v>
      </c>
      <c r="N120" s="9" t="s">
        <v>1539</v>
      </c>
      <c r="O120" s="9">
        <v>8</v>
      </c>
      <c r="P120" s="4">
        <f>O120/100</f>
        <v>0.08</v>
      </c>
      <c r="Q120" s="5">
        <f>S119</f>
        <v>245.2702658124019</v>
      </c>
      <c r="R120" s="5">
        <f>Q120*P120*$T$1</f>
        <v>29.432431897488229</v>
      </c>
      <c r="S120" s="5">
        <f>R120+Q120</f>
        <v>274.70269770989012</v>
      </c>
      <c r="T120" s="5"/>
      <c r="U120" s="4"/>
      <c r="V120" s="9"/>
      <c r="W120" s="9"/>
      <c r="X120" s="9" t="s">
        <v>1538</v>
      </c>
      <c r="Y120" s="9" t="s">
        <v>2</v>
      </c>
      <c r="Z120" s="9" t="s">
        <v>1537</v>
      </c>
      <c r="AA120" s="9" t="s">
        <v>1509</v>
      </c>
      <c r="AB120" s="8">
        <v>45870</v>
      </c>
    </row>
    <row r="121" spans="1:28" x14ac:dyDescent="0.3">
      <c r="A121" s="15">
        <v>120</v>
      </c>
      <c r="B121" s="13" t="s">
        <v>11</v>
      </c>
      <c r="C121" s="14">
        <v>45882.375</v>
      </c>
      <c r="D121" s="14">
        <v>45882.625</v>
      </c>
      <c r="E121" s="14">
        <v>45883.104166666664</v>
      </c>
      <c r="F121" s="13" t="s">
        <v>1536</v>
      </c>
      <c r="G121" s="13" t="s">
        <v>1535</v>
      </c>
      <c r="H121" s="13" t="s">
        <v>1533</v>
      </c>
      <c r="I121" s="13" t="s">
        <v>1534</v>
      </c>
      <c r="J121" s="13" t="s">
        <v>1534</v>
      </c>
      <c r="K121" s="13" t="s">
        <v>1533</v>
      </c>
      <c r="L121" s="13" t="s">
        <v>1532</v>
      </c>
      <c r="M121" s="13" t="s">
        <v>1531</v>
      </c>
      <c r="N121" s="13" t="s">
        <v>1530</v>
      </c>
      <c r="O121" s="13">
        <v>-3.4489899031731701</v>
      </c>
      <c r="P121" s="4">
        <f>O121/100</f>
        <v>-3.4489899031731698E-2</v>
      </c>
      <c r="Q121" s="5">
        <f>S120</f>
        <v>274.70269770989012</v>
      </c>
      <c r="R121" s="5">
        <f>Q121*P121*$T$1</f>
        <v>-14.211702461637637</v>
      </c>
      <c r="S121" s="5">
        <f>R121+Q121</f>
        <v>260.49099524825249</v>
      </c>
      <c r="T121" s="5"/>
      <c r="U121" s="4"/>
      <c r="V121" s="13"/>
      <c r="W121" s="13"/>
      <c r="X121" s="13" t="s">
        <v>1529</v>
      </c>
      <c r="Y121" s="13" t="s">
        <v>63</v>
      </c>
      <c r="Z121" s="13" t="s">
        <v>1528</v>
      </c>
      <c r="AA121" s="13" t="s">
        <v>1527</v>
      </c>
      <c r="AB121" s="12">
        <v>45870</v>
      </c>
    </row>
    <row r="122" spans="1:28" x14ac:dyDescent="0.3">
      <c r="A122" s="11">
        <v>121</v>
      </c>
      <c r="B122" s="9" t="s">
        <v>11</v>
      </c>
      <c r="C122" s="10">
        <v>45883.114583333336</v>
      </c>
      <c r="D122" s="10">
        <v>45883.260416666664</v>
      </c>
      <c r="E122" s="10">
        <v>45883.520833333336</v>
      </c>
      <c r="F122" s="9" t="s">
        <v>1526</v>
      </c>
      <c r="G122" s="9" t="s">
        <v>1525</v>
      </c>
      <c r="H122" s="9" t="s">
        <v>1523</v>
      </c>
      <c r="I122" s="9" t="s">
        <v>1524</v>
      </c>
      <c r="J122" s="9" t="s">
        <v>1524</v>
      </c>
      <c r="K122" s="9" t="s">
        <v>1523</v>
      </c>
      <c r="L122" s="9" t="s">
        <v>1522</v>
      </c>
      <c r="M122" s="9" t="s">
        <v>1521</v>
      </c>
      <c r="N122" s="9" t="s">
        <v>1520</v>
      </c>
      <c r="O122" s="9">
        <v>6</v>
      </c>
      <c r="P122" s="4">
        <f>O122/100</f>
        <v>0.06</v>
      </c>
      <c r="Q122" s="5">
        <f>S121</f>
        <v>260.49099524825249</v>
      </c>
      <c r="R122" s="5">
        <f>Q122*P122*$T$1</f>
        <v>23.444189572342722</v>
      </c>
      <c r="S122" s="5">
        <f>R122+Q122</f>
        <v>283.93518482059523</v>
      </c>
      <c r="T122" s="5"/>
      <c r="U122" s="4"/>
      <c r="V122" s="9"/>
      <c r="W122" s="9"/>
      <c r="X122" s="9" t="s">
        <v>1519</v>
      </c>
      <c r="Y122" s="9" t="s">
        <v>2</v>
      </c>
      <c r="Z122" s="9" t="s">
        <v>1518</v>
      </c>
      <c r="AA122" s="9" t="s">
        <v>1500</v>
      </c>
      <c r="AB122" s="8">
        <v>45870</v>
      </c>
    </row>
    <row r="123" spans="1:28" x14ac:dyDescent="0.3">
      <c r="A123" s="15">
        <v>122</v>
      </c>
      <c r="B123" s="13" t="s">
        <v>22</v>
      </c>
      <c r="C123" s="14">
        <v>45884.239583333336</v>
      </c>
      <c r="D123" s="14">
        <v>45884.520833333336</v>
      </c>
      <c r="E123" s="14">
        <v>45886.666666666664</v>
      </c>
      <c r="F123" s="13" t="s">
        <v>1517</v>
      </c>
      <c r="G123" s="13" t="s">
        <v>1516</v>
      </c>
      <c r="H123" s="13" t="s">
        <v>1514</v>
      </c>
      <c r="I123" s="13" t="s">
        <v>1515</v>
      </c>
      <c r="J123" s="13" t="s">
        <v>1515</v>
      </c>
      <c r="K123" s="13" t="s">
        <v>1514</v>
      </c>
      <c r="L123" s="13" t="s">
        <v>1513</v>
      </c>
      <c r="M123" s="13" t="s">
        <v>1512</v>
      </c>
      <c r="N123" s="13" t="s">
        <v>1511</v>
      </c>
      <c r="O123" s="13">
        <v>-2.1214858186952199</v>
      </c>
      <c r="P123" s="4">
        <f>O123/100</f>
        <v>-2.12148581869522E-2</v>
      </c>
      <c r="Q123" s="5">
        <f>S122</f>
        <v>283.93518482059523</v>
      </c>
      <c r="R123" s="5">
        <f>Q123*P123*$T$1</f>
        <v>-9.0354670203824874</v>
      </c>
      <c r="S123" s="5">
        <f>R123+Q123</f>
        <v>274.89971780021273</v>
      </c>
      <c r="T123" s="5"/>
      <c r="U123" s="4"/>
      <c r="V123" s="13"/>
      <c r="W123" s="13"/>
      <c r="X123" s="13" t="s">
        <v>1510</v>
      </c>
      <c r="Y123" s="13" t="s">
        <v>63</v>
      </c>
      <c r="Z123" s="13" t="s">
        <v>1509</v>
      </c>
      <c r="AA123" s="13" t="s">
        <v>1491</v>
      </c>
      <c r="AB123" s="12">
        <v>45870</v>
      </c>
    </row>
    <row r="124" spans="1:28" x14ac:dyDescent="0.3">
      <c r="A124" s="11">
        <v>123</v>
      </c>
      <c r="B124" s="9" t="s">
        <v>11</v>
      </c>
      <c r="C124" s="10">
        <v>45884.166666666664</v>
      </c>
      <c r="D124" s="10">
        <v>45884.614583333336</v>
      </c>
      <c r="E124" s="10">
        <v>45885.020833333336</v>
      </c>
      <c r="F124" s="9" t="s">
        <v>1508</v>
      </c>
      <c r="G124" s="9" t="s">
        <v>1507</v>
      </c>
      <c r="H124" s="9" t="s">
        <v>1505</v>
      </c>
      <c r="I124" s="9" t="s">
        <v>1506</v>
      </c>
      <c r="J124" s="9" t="s">
        <v>1506</v>
      </c>
      <c r="K124" s="9" t="s">
        <v>1505</v>
      </c>
      <c r="L124" s="9" t="s">
        <v>1504</v>
      </c>
      <c r="M124" s="9" t="s">
        <v>1503</v>
      </c>
      <c r="N124" s="9" t="s">
        <v>1502</v>
      </c>
      <c r="O124" s="9">
        <v>-2.7212337385349801</v>
      </c>
      <c r="P124" s="4">
        <f>O124/100</f>
        <v>-2.72123373853498E-2</v>
      </c>
      <c r="Q124" s="5">
        <f>S123</f>
        <v>274.89971780021273</v>
      </c>
      <c r="R124" s="5">
        <f>Q124*P124*$T$1</f>
        <v>-11.220995801875258</v>
      </c>
      <c r="S124" s="5">
        <f>R124+Q124</f>
        <v>263.67872199833749</v>
      </c>
      <c r="T124" s="5"/>
      <c r="U124" s="4"/>
      <c r="V124" s="9"/>
      <c r="W124" s="9"/>
      <c r="X124" s="9" t="s">
        <v>1501</v>
      </c>
      <c r="Y124" s="9" t="s">
        <v>63</v>
      </c>
      <c r="Z124" s="9" t="s">
        <v>1500</v>
      </c>
      <c r="AA124" s="9" t="s">
        <v>1482</v>
      </c>
      <c r="AB124" s="8">
        <v>45870</v>
      </c>
    </row>
    <row r="125" spans="1:28" x14ac:dyDescent="0.3">
      <c r="A125" s="15">
        <v>124</v>
      </c>
      <c r="B125" s="13" t="s">
        <v>22</v>
      </c>
      <c r="C125" s="14">
        <v>45886.666666666664</v>
      </c>
      <c r="D125" s="14">
        <v>45886.739583333336</v>
      </c>
      <c r="E125" s="14">
        <v>45887.270833333336</v>
      </c>
      <c r="F125" s="13" t="s">
        <v>1499</v>
      </c>
      <c r="G125" s="13" t="s">
        <v>1498</v>
      </c>
      <c r="H125" s="13" t="s">
        <v>1496</v>
      </c>
      <c r="I125" s="13" t="s">
        <v>1497</v>
      </c>
      <c r="J125" s="13" t="s">
        <v>1497</v>
      </c>
      <c r="K125" s="13" t="s">
        <v>1496</v>
      </c>
      <c r="L125" s="13" t="s">
        <v>1495</v>
      </c>
      <c r="M125" s="13" t="s">
        <v>1494</v>
      </c>
      <c r="N125" s="13" t="s">
        <v>1493</v>
      </c>
      <c r="O125" s="13">
        <v>8</v>
      </c>
      <c r="P125" s="4">
        <f>O125/100</f>
        <v>0.08</v>
      </c>
      <c r="Q125" s="5">
        <f>S124</f>
        <v>263.67872199833749</v>
      </c>
      <c r="R125" s="5">
        <f>Q125*P125*$T$1</f>
        <v>31.641446639800499</v>
      </c>
      <c r="S125" s="5">
        <f>R125+Q125</f>
        <v>295.320168638138</v>
      </c>
      <c r="T125" s="5"/>
      <c r="U125" s="4"/>
      <c r="V125" s="13"/>
      <c r="W125" s="13"/>
      <c r="X125" s="13" t="s">
        <v>1492</v>
      </c>
      <c r="Y125" s="13" t="s">
        <v>2</v>
      </c>
      <c r="Z125" s="13" t="s">
        <v>1491</v>
      </c>
      <c r="AA125" s="13" t="s">
        <v>1464</v>
      </c>
      <c r="AB125" s="12">
        <v>45870</v>
      </c>
    </row>
    <row r="126" spans="1:28" x14ac:dyDescent="0.3">
      <c r="A126" s="11">
        <v>125</v>
      </c>
      <c r="B126" s="9" t="s">
        <v>11</v>
      </c>
      <c r="C126" s="10">
        <v>45886.666666666664</v>
      </c>
      <c r="D126" s="10">
        <v>45886.760416666664</v>
      </c>
      <c r="E126" s="10">
        <v>45887.270833333336</v>
      </c>
      <c r="F126" s="9" t="s">
        <v>1490</v>
      </c>
      <c r="G126" s="9" t="s">
        <v>1489</v>
      </c>
      <c r="H126" s="9" t="s">
        <v>1487</v>
      </c>
      <c r="I126" s="9" t="s">
        <v>1488</v>
      </c>
      <c r="J126" s="9" t="s">
        <v>1488</v>
      </c>
      <c r="K126" s="9" t="s">
        <v>1487</v>
      </c>
      <c r="L126" s="9" t="s">
        <v>1486</v>
      </c>
      <c r="M126" s="9" t="s">
        <v>1485</v>
      </c>
      <c r="N126" s="9" t="s">
        <v>1484</v>
      </c>
      <c r="O126" s="9">
        <v>6</v>
      </c>
      <c r="P126" s="4">
        <f>O126/100</f>
        <v>0.06</v>
      </c>
      <c r="Q126" s="5">
        <f>S125</f>
        <v>295.320168638138</v>
      </c>
      <c r="R126" s="5">
        <f>Q126*P126*$T$1</f>
        <v>26.578815177432421</v>
      </c>
      <c r="S126" s="5">
        <f>R126+Q126</f>
        <v>321.89898381557043</v>
      </c>
      <c r="T126" s="5"/>
      <c r="U126" s="4"/>
      <c r="V126" s="9"/>
      <c r="W126" s="9"/>
      <c r="X126" s="9" t="s">
        <v>1483</v>
      </c>
      <c r="Y126" s="9" t="s">
        <v>2</v>
      </c>
      <c r="Z126" s="9" t="s">
        <v>1482</v>
      </c>
      <c r="AA126" s="9" t="s">
        <v>1446</v>
      </c>
      <c r="AB126" s="8">
        <v>45870</v>
      </c>
    </row>
    <row r="127" spans="1:28" x14ac:dyDescent="0.3">
      <c r="A127" s="15">
        <v>126</v>
      </c>
      <c r="B127" s="13" t="s">
        <v>42</v>
      </c>
      <c r="C127" s="14">
        <v>45886.677083333336</v>
      </c>
      <c r="D127" s="14">
        <v>45886.9375</v>
      </c>
      <c r="E127" s="14">
        <v>45887.114583333336</v>
      </c>
      <c r="F127" s="13" t="s">
        <v>1481</v>
      </c>
      <c r="G127" s="13" t="s">
        <v>1480</v>
      </c>
      <c r="H127" s="13" t="s">
        <v>1478</v>
      </c>
      <c r="I127" s="13" t="s">
        <v>1479</v>
      </c>
      <c r="J127" s="13" t="s">
        <v>1479</v>
      </c>
      <c r="K127" s="13" t="s">
        <v>1478</v>
      </c>
      <c r="L127" s="13" t="s">
        <v>1477</v>
      </c>
      <c r="M127" s="13" t="s">
        <v>1476</v>
      </c>
      <c r="N127" s="13" t="s">
        <v>1475</v>
      </c>
      <c r="O127" s="13">
        <v>8</v>
      </c>
      <c r="P127" s="4">
        <f>O127/100</f>
        <v>0.08</v>
      </c>
      <c r="Q127" s="5">
        <f>S126</f>
        <v>321.89898381557043</v>
      </c>
      <c r="R127" s="5">
        <f>Q127*P127*$T$1</f>
        <v>38.627878057868458</v>
      </c>
      <c r="S127" s="5">
        <f>R127+Q127</f>
        <v>360.52686187343886</v>
      </c>
      <c r="T127" s="5"/>
      <c r="U127" s="4"/>
      <c r="V127" s="13"/>
      <c r="W127" s="13"/>
      <c r="X127" s="13" t="s">
        <v>1474</v>
      </c>
      <c r="Y127" s="13" t="s">
        <v>2</v>
      </c>
      <c r="Z127" s="13" t="s">
        <v>1473</v>
      </c>
      <c r="AA127" s="13" t="s">
        <v>1437</v>
      </c>
      <c r="AB127" s="12">
        <v>45870</v>
      </c>
    </row>
    <row r="128" spans="1:28" x14ac:dyDescent="0.3">
      <c r="A128" s="11">
        <v>127</v>
      </c>
      <c r="B128" s="9" t="s">
        <v>22</v>
      </c>
      <c r="C128" s="10">
        <v>45888.489583333336</v>
      </c>
      <c r="D128" s="10">
        <v>45888.5625</v>
      </c>
      <c r="E128" s="10">
        <v>45890.083333333336</v>
      </c>
      <c r="F128" s="9" t="s">
        <v>1472</v>
      </c>
      <c r="G128" s="9" t="s">
        <v>1471</v>
      </c>
      <c r="H128" s="9" t="s">
        <v>1469</v>
      </c>
      <c r="I128" s="9" t="s">
        <v>1470</v>
      </c>
      <c r="J128" s="9" t="s">
        <v>1470</v>
      </c>
      <c r="K128" s="9" t="s">
        <v>1469</v>
      </c>
      <c r="L128" s="9" t="s">
        <v>1468</v>
      </c>
      <c r="M128" s="9" t="s">
        <v>1467</v>
      </c>
      <c r="N128" s="9" t="s">
        <v>1466</v>
      </c>
      <c r="O128" s="9">
        <v>-0.983871242184713</v>
      </c>
      <c r="P128" s="4">
        <f>O128/100</f>
        <v>-9.8387124218471296E-3</v>
      </c>
      <c r="Q128" s="5">
        <f>S127</f>
        <v>360.52686187343886</v>
      </c>
      <c r="R128" s="5">
        <f>Q128*P128*$T$1</f>
        <v>-5.3206801714856509</v>
      </c>
      <c r="S128" s="5">
        <f>R128+Q128</f>
        <v>355.2061817019532</v>
      </c>
      <c r="T128" s="5"/>
      <c r="U128" s="4"/>
      <c r="V128" s="9"/>
      <c r="W128" s="9"/>
      <c r="X128" s="9" t="s">
        <v>1465</v>
      </c>
      <c r="Y128" s="9" t="s">
        <v>63</v>
      </c>
      <c r="Z128" s="9" t="s">
        <v>1464</v>
      </c>
      <c r="AA128" s="9" t="s">
        <v>1410</v>
      </c>
      <c r="AB128" s="8">
        <v>45870</v>
      </c>
    </row>
    <row r="129" spans="1:28" x14ac:dyDescent="0.3">
      <c r="A129" s="15">
        <v>128</v>
      </c>
      <c r="B129" s="13" t="s">
        <v>108</v>
      </c>
      <c r="C129" s="14">
        <v>45891.770833333336</v>
      </c>
      <c r="D129" s="14">
        <v>45891.927083333336</v>
      </c>
      <c r="E129" s="14">
        <v>45894.020833333336</v>
      </c>
      <c r="F129" s="13" t="s">
        <v>1463</v>
      </c>
      <c r="G129" s="13" t="s">
        <v>1462</v>
      </c>
      <c r="H129" s="13" t="s">
        <v>1460</v>
      </c>
      <c r="I129" s="13" t="s">
        <v>1461</v>
      </c>
      <c r="J129" s="13" t="s">
        <v>1461</v>
      </c>
      <c r="K129" s="13" t="s">
        <v>1460</v>
      </c>
      <c r="L129" s="13" t="s">
        <v>1459</v>
      </c>
      <c r="M129" s="13" t="s">
        <v>1458</v>
      </c>
      <c r="N129" s="13" t="s">
        <v>1457</v>
      </c>
      <c r="O129" s="13">
        <v>10</v>
      </c>
      <c r="P129" s="4">
        <f>O129/100</f>
        <v>0.1</v>
      </c>
      <c r="Q129" s="5">
        <f>S128</f>
        <v>355.2061817019532</v>
      </c>
      <c r="R129" s="5">
        <f>Q129*P129*$T$1</f>
        <v>53.28092725529298</v>
      </c>
      <c r="S129" s="5">
        <f>R129+Q129</f>
        <v>408.48710895724616</v>
      </c>
      <c r="T129" s="5"/>
      <c r="U129" s="4"/>
      <c r="V129" s="13"/>
      <c r="W129" s="13"/>
      <c r="X129" s="13" t="s">
        <v>1456</v>
      </c>
      <c r="Y129" s="13" t="s">
        <v>2</v>
      </c>
      <c r="Z129" s="13" t="s">
        <v>1455</v>
      </c>
      <c r="AA129" s="13" t="s">
        <v>1419</v>
      </c>
      <c r="AB129" s="12">
        <v>45870</v>
      </c>
    </row>
    <row r="130" spans="1:28" x14ac:dyDescent="0.3">
      <c r="A130" s="11">
        <v>129</v>
      </c>
      <c r="B130" s="9" t="s">
        <v>11</v>
      </c>
      <c r="C130" s="10">
        <v>45891.90625</v>
      </c>
      <c r="D130" s="10">
        <v>45892.020833333336</v>
      </c>
      <c r="E130" s="10">
        <v>45893.78125</v>
      </c>
      <c r="F130" s="9" t="s">
        <v>1454</v>
      </c>
      <c r="G130" s="9" t="s">
        <v>1453</v>
      </c>
      <c r="H130" s="9" t="s">
        <v>1451</v>
      </c>
      <c r="I130" s="9" t="s">
        <v>1452</v>
      </c>
      <c r="J130" s="9" t="s">
        <v>1452</v>
      </c>
      <c r="K130" s="9" t="s">
        <v>1451</v>
      </c>
      <c r="L130" s="9" t="s">
        <v>1450</v>
      </c>
      <c r="M130" s="9" t="s">
        <v>1449</v>
      </c>
      <c r="N130" s="9" t="s">
        <v>1448</v>
      </c>
      <c r="O130" s="9">
        <v>-1.0641532743223501</v>
      </c>
      <c r="P130" s="4">
        <f>O130/100</f>
        <v>-1.0641532743223501E-2</v>
      </c>
      <c r="Q130" s="5">
        <f>S129</f>
        <v>408.48710895724616</v>
      </c>
      <c r="R130" s="5">
        <f>Q130*P130*$T$1</f>
        <v>-6.5203934177298617</v>
      </c>
      <c r="S130" s="5">
        <f>R130+Q130</f>
        <v>401.96671553951631</v>
      </c>
      <c r="T130" s="5"/>
      <c r="U130" s="4"/>
      <c r="V130" s="9"/>
      <c r="W130" s="9"/>
      <c r="X130" s="9" t="s">
        <v>1447</v>
      </c>
      <c r="Y130" s="9" t="s">
        <v>63</v>
      </c>
      <c r="Z130" s="9" t="s">
        <v>1446</v>
      </c>
      <c r="AA130" s="9" t="s">
        <v>1392</v>
      </c>
      <c r="AB130" s="8">
        <v>45870</v>
      </c>
    </row>
    <row r="131" spans="1:28" x14ac:dyDescent="0.3">
      <c r="A131" s="15">
        <v>130</v>
      </c>
      <c r="B131" s="13" t="s">
        <v>42</v>
      </c>
      <c r="C131" s="14">
        <v>45891.90625</v>
      </c>
      <c r="D131" s="14">
        <v>45892.239583333336</v>
      </c>
      <c r="E131" s="14">
        <v>45894.322916666664</v>
      </c>
      <c r="F131" s="13" t="s">
        <v>1445</v>
      </c>
      <c r="G131" s="13" t="s">
        <v>1444</v>
      </c>
      <c r="H131" s="13" t="s">
        <v>1442</v>
      </c>
      <c r="I131" s="13" t="s">
        <v>1443</v>
      </c>
      <c r="J131" s="13" t="s">
        <v>1443</v>
      </c>
      <c r="K131" s="13" t="s">
        <v>1442</v>
      </c>
      <c r="L131" s="13" t="s">
        <v>1441</v>
      </c>
      <c r="M131" s="13" t="s">
        <v>1440</v>
      </c>
      <c r="N131" s="13" t="s">
        <v>1439</v>
      </c>
      <c r="O131" s="13">
        <v>8</v>
      </c>
      <c r="P131" s="4">
        <f>O131/100</f>
        <v>0.08</v>
      </c>
      <c r="Q131" s="5">
        <f>S130</f>
        <v>401.96671553951631</v>
      </c>
      <c r="R131" s="5">
        <f>Q131*P131*$T$1</f>
        <v>48.236005864741962</v>
      </c>
      <c r="S131" s="5">
        <f>R131+Q131</f>
        <v>450.20272140425828</v>
      </c>
      <c r="T131" s="5"/>
      <c r="U131" s="4"/>
      <c r="V131" s="13"/>
      <c r="W131" s="13"/>
      <c r="X131" s="13" t="s">
        <v>1438</v>
      </c>
      <c r="Y131" s="13" t="s">
        <v>2</v>
      </c>
      <c r="Z131" s="13" t="s">
        <v>1437</v>
      </c>
      <c r="AA131" s="13" t="s">
        <v>1428</v>
      </c>
      <c r="AB131" s="12">
        <v>45870</v>
      </c>
    </row>
    <row r="132" spans="1:28" x14ac:dyDescent="0.3">
      <c r="A132" s="11">
        <v>131</v>
      </c>
      <c r="B132" s="9" t="s">
        <v>42</v>
      </c>
      <c r="C132" s="10">
        <v>45893.020833333336</v>
      </c>
      <c r="D132" s="10">
        <v>45893.041666666664</v>
      </c>
      <c r="E132" s="10">
        <v>45893.760416666664</v>
      </c>
      <c r="F132" s="9" t="s">
        <v>1436</v>
      </c>
      <c r="G132" s="9" t="s">
        <v>1435</v>
      </c>
      <c r="H132" s="9" t="s">
        <v>1433</v>
      </c>
      <c r="I132" s="9" t="s">
        <v>1434</v>
      </c>
      <c r="J132" s="9" t="s">
        <v>1434</v>
      </c>
      <c r="K132" s="9" t="s">
        <v>1433</v>
      </c>
      <c r="L132" s="9" t="s">
        <v>1432</v>
      </c>
      <c r="M132" s="9" t="s">
        <v>1431</v>
      </c>
      <c r="N132" s="9" t="s">
        <v>1430</v>
      </c>
      <c r="O132" s="9">
        <v>-1.17388114453412</v>
      </c>
      <c r="P132" s="4">
        <f>O132/100</f>
        <v>-1.17388114453412E-2</v>
      </c>
      <c r="Q132" s="5">
        <f>S131</f>
        <v>450.20272140425828</v>
      </c>
      <c r="R132" s="5">
        <f>Q132*P132*$T$1</f>
        <v>-7.927267288116095</v>
      </c>
      <c r="S132" s="5">
        <f>R132+Q132</f>
        <v>442.27545411614221</v>
      </c>
      <c r="T132" s="5"/>
      <c r="U132" s="4"/>
      <c r="V132" s="9"/>
      <c r="W132" s="9"/>
      <c r="X132" s="9" t="s">
        <v>1429</v>
      </c>
      <c r="Y132" s="9" t="s">
        <v>63</v>
      </c>
      <c r="Z132" s="9" t="s">
        <v>1428</v>
      </c>
      <c r="AA132" s="9" t="s">
        <v>1401</v>
      </c>
      <c r="AB132" s="8">
        <v>45870</v>
      </c>
    </row>
    <row r="133" spans="1:28" x14ac:dyDescent="0.3">
      <c r="A133" s="15">
        <v>132</v>
      </c>
      <c r="B133" s="13" t="s">
        <v>108</v>
      </c>
      <c r="C133" s="14">
        <v>45893.791666666664</v>
      </c>
      <c r="D133" s="14">
        <v>45893.8125</v>
      </c>
      <c r="E133" s="14">
        <v>45894.833333333336</v>
      </c>
      <c r="F133" s="13" t="s">
        <v>1427</v>
      </c>
      <c r="G133" s="13" t="s">
        <v>1426</v>
      </c>
      <c r="H133" s="13" t="s">
        <v>1424</v>
      </c>
      <c r="I133" s="13" t="s">
        <v>1425</v>
      </c>
      <c r="J133" s="13" t="s">
        <v>1425</v>
      </c>
      <c r="K133" s="13" t="s">
        <v>1424</v>
      </c>
      <c r="L133" s="13" t="s">
        <v>1423</v>
      </c>
      <c r="M133" s="13" t="s">
        <v>1422</v>
      </c>
      <c r="N133" s="13" t="s">
        <v>1421</v>
      </c>
      <c r="O133" s="13">
        <v>10</v>
      </c>
      <c r="P133" s="4">
        <f>O133/100</f>
        <v>0.1</v>
      </c>
      <c r="Q133" s="5">
        <f>S132</f>
        <v>442.27545411614221</v>
      </c>
      <c r="R133" s="5">
        <f>Q133*P133*$T$1</f>
        <v>66.341318117421338</v>
      </c>
      <c r="S133" s="5">
        <f>R133+Q133</f>
        <v>508.61677223356355</v>
      </c>
      <c r="T133" s="5"/>
      <c r="U133" s="4"/>
      <c r="V133" s="13"/>
      <c r="W133" s="13"/>
      <c r="X133" s="13" t="s">
        <v>1420</v>
      </c>
      <c r="Y133" s="13" t="s">
        <v>2</v>
      </c>
      <c r="Z133" s="13" t="s">
        <v>1419</v>
      </c>
      <c r="AA133" s="13" t="s">
        <v>1291</v>
      </c>
      <c r="AB133" s="12">
        <v>45870</v>
      </c>
    </row>
    <row r="134" spans="1:28" x14ac:dyDescent="0.3">
      <c r="A134" s="11">
        <v>133</v>
      </c>
      <c r="B134" s="9" t="s">
        <v>22</v>
      </c>
      <c r="C134" s="10">
        <v>45893.802083333336</v>
      </c>
      <c r="D134" s="10">
        <v>45893.8125</v>
      </c>
      <c r="E134" s="10">
        <v>45894.322916666664</v>
      </c>
      <c r="F134" s="9" t="s">
        <v>1418</v>
      </c>
      <c r="G134" s="9" t="s">
        <v>1417</v>
      </c>
      <c r="H134" s="9" t="s">
        <v>1415</v>
      </c>
      <c r="I134" s="9" t="s">
        <v>1416</v>
      </c>
      <c r="J134" s="9" t="s">
        <v>1416</v>
      </c>
      <c r="K134" s="9" t="s">
        <v>1415</v>
      </c>
      <c r="L134" s="9" t="s">
        <v>1414</v>
      </c>
      <c r="M134" s="9" t="s">
        <v>1413</v>
      </c>
      <c r="N134" s="9" t="s">
        <v>1412</v>
      </c>
      <c r="O134" s="9">
        <v>8</v>
      </c>
      <c r="P134" s="4">
        <f>O134/100</f>
        <v>0.08</v>
      </c>
      <c r="Q134" s="5">
        <f>S133</f>
        <v>508.61677223356355</v>
      </c>
      <c r="R134" s="5">
        <f>Q134*P134*$T$1</f>
        <v>61.034012668027628</v>
      </c>
      <c r="S134" s="5">
        <f>R134+Q134</f>
        <v>569.65078490159112</v>
      </c>
      <c r="T134" s="5"/>
      <c r="U134" s="4"/>
      <c r="V134" s="9"/>
      <c r="W134" s="9"/>
      <c r="X134" s="9" t="s">
        <v>1411</v>
      </c>
      <c r="Y134" s="9" t="s">
        <v>2</v>
      </c>
      <c r="Z134" s="9" t="s">
        <v>1410</v>
      </c>
      <c r="AA134" s="9" t="s">
        <v>1382</v>
      </c>
      <c r="AB134" s="8">
        <v>45870</v>
      </c>
    </row>
    <row r="135" spans="1:28" x14ac:dyDescent="0.3">
      <c r="A135" s="15">
        <v>134</v>
      </c>
      <c r="B135" s="13" t="s">
        <v>42</v>
      </c>
      <c r="C135" s="14">
        <v>45893.802083333336</v>
      </c>
      <c r="D135" s="14">
        <v>45893.8125</v>
      </c>
      <c r="E135" s="14">
        <v>45894.416666666664</v>
      </c>
      <c r="F135" s="13" t="s">
        <v>1409</v>
      </c>
      <c r="G135" s="13" t="s">
        <v>1408</v>
      </c>
      <c r="H135" s="13" t="s">
        <v>1406</v>
      </c>
      <c r="I135" s="13" t="s">
        <v>1407</v>
      </c>
      <c r="J135" s="13" t="s">
        <v>1407</v>
      </c>
      <c r="K135" s="13" t="s">
        <v>1406</v>
      </c>
      <c r="L135" s="13" t="s">
        <v>1405</v>
      </c>
      <c r="M135" s="13" t="s">
        <v>1404</v>
      </c>
      <c r="N135" s="13" t="s">
        <v>1403</v>
      </c>
      <c r="O135" s="13">
        <v>8</v>
      </c>
      <c r="P135" s="4">
        <f>O135/100</f>
        <v>0.08</v>
      </c>
      <c r="Q135" s="5">
        <f>S134</f>
        <v>569.65078490159112</v>
      </c>
      <c r="R135" s="5">
        <f>Q135*P135*$T$1</f>
        <v>68.358094188190933</v>
      </c>
      <c r="S135" s="5">
        <f>R135+Q135</f>
        <v>638.00887908978211</v>
      </c>
      <c r="T135" s="5"/>
      <c r="U135" s="4"/>
      <c r="V135" s="13"/>
      <c r="W135" s="13"/>
      <c r="X135" s="13" t="s">
        <v>1402</v>
      </c>
      <c r="Y135" s="13" t="s">
        <v>2</v>
      </c>
      <c r="Z135" s="13" t="s">
        <v>1401</v>
      </c>
      <c r="AA135" s="13" t="s">
        <v>1345</v>
      </c>
      <c r="AB135" s="12">
        <v>45870</v>
      </c>
    </row>
    <row r="136" spans="1:28" x14ac:dyDescent="0.3">
      <c r="A136" s="11">
        <v>135</v>
      </c>
      <c r="B136" s="9" t="s">
        <v>11</v>
      </c>
      <c r="C136" s="10">
        <v>45893.802083333336</v>
      </c>
      <c r="D136" s="10">
        <v>45893.8125</v>
      </c>
      <c r="E136" s="10">
        <v>45894.28125</v>
      </c>
      <c r="F136" s="9" t="s">
        <v>1400</v>
      </c>
      <c r="G136" s="9" t="s">
        <v>1399</v>
      </c>
      <c r="H136" s="9" t="s">
        <v>1397</v>
      </c>
      <c r="I136" s="9" t="s">
        <v>1398</v>
      </c>
      <c r="J136" s="9" t="s">
        <v>1398</v>
      </c>
      <c r="K136" s="9" t="s">
        <v>1397</v>
      </c>
      <c r="L136" s="9" t="s">
        <v>1396</v>
      </c>
      <c r="M136" s="9" t="s">
        <v>1395</v>
      </c>
      <c r="N136" s="9" t="s">
        <v>1394</v>
      </c>
      <c r="O136" s="9">
        <v>6</v>
      </c>
      <c r="P136" s="4">
        <f>O136/100</f>
        <v>0.06</v>
      </c>
      <c r="Q136" s="5">
        <f>S135</f>
        <v>638.00887908978211</v>
      </c>
      <c r="R136" s="5">
        <f>Q136*P136*$T$1</f>
        <v>57.420799118080396</v>
      </c>
      <c r="S136" s="5">
        <f>R136+Q136</f>
        <v>695.42967820786248</v>
      </c>
      <c r="T136" s="5"/>
      <c r="U136" s="4"/>
      <c r="V136" s="9"/>
      <c r="W136" s="9"/>
      <c r="X136" s="9" t="s">
        <v>1393</v>
      </c>
      <c r="Y136" s="9" t="s">
        <v>2</v>
      </c>
      <c r="Z136" s="9" t="s">
        <v>1392</v>
      </c>
      <c r="AA136" s="9" t="s">
        <v>1391</v>
      </c>
      <c r="AB136" s="8">
        <v>45870</v>
      </c>
    </row>
    <row r="137" spans="1:28" x14ac:dyDescent="0.3">
      <c r="A137" s="15">
        <v>136</v>
      </c>
      <c r="B137" s="13" t="s">
        <v>22</v>
      </c>
      <c r="C137" s="14">
        <v>45895.833333333336</v>
      </c>
      <c r="D137" s="14">
        <v>45896.072916666664</v>
      </c>
      <c r="E137" s="14">
        <v>45901.114583333336</v>
      </c>
      <c r="F137" s="13" t="s">
        <v>1390</v>
      </c>
      <c r="G137" s="13" t="s">
        <v>1389</v>
      </c>
      <c r="H137" s="13" t="s">
        <v>1387</v>
      </c>
      <c r="I137" s="13" t="s">
        <v>1388</v>
      </c>
      <c r="J137" s="13" t="s">
        <v>1388</v>
      </c>
      <c r="K137" s="13" t="s">
        <v>1387</v>
      </c>
      <c r="L137" s="13" t="s">
        <v>1386</v>
      </c>
      <c r="M137" s="13" t="s">
        <v>1385</v>
      </c>
      <c r="N137" s="13" t="s">
        <v>1384</v>
      </c>
      <c r="O137" s="13">
        <v>8</v>
      </c>
      <c r="P137" s="4">
        <f>O137/100</f>
        <v>0.08</v>
      </c>
      <c r="Q137" s="5">
        <f>S136</f>
        <v>695.42967820786248</v>
      </c>
      <c r="R137" s="5">
        <f>Q137*P137*$T$1</f>
        <v>83.451561384943503</v>
      </c>
      <c r="S137" s="5">
        <f>R137+Q137</f>
        <v>778.88123959280597</v>
      </c>
      <c r="T137" s="5"/>
      <c r="U137" s="4"/>
      <c r="V137" s="13"/>
      <c r="W137" s="13"/>
      <c r="X137" s="13" t="s">
        <v>1383</v>
      </c>
      <c r="Y137" s="13" t="s">
        <v>2</v>
      </c>
      <c r="Z137" s="13" t="s">
        <v>1382</v>
      </c>
      <c r="AA137" s="13" t="s">
        <v>1381</v>
      </c>
      <c r="AB137" s="12">
        <v>45870</v>
      </c>
    </row>
    <row r="138" spans="1:28" x14ac:dyDescent="0.3">
      <c r="A138" s="11">
        <v>137</v>
      </c>
      <c r="B138" s="9" t="s">
        <v>11</v>
      </c>
      <c r="C138" s="10">
        <v>45896.166666666664</v>
      </c>
      <c r="D138" s="10">
        <v>45896.364583333336</v>
      </c>
      <c r="E138" s="10">
        <v>45896.75</v>
      </c>
      <c r="F138" s="9" t="s">
        <v>1380</v>
      </c>
      <c r="G138" s="9" t="s">
        <v>1379</v>
      </c>
      <c r="H138" s="9" t="s">
        <v>1377</v>
      </c>
      <c r="I138" s="9" t="s">
        <v>1378</v>
      </c>
      <c r="J138" s="9" t="s">
        <v>1378</v>
      </c>
      <c r="K138" s="9" t="s">
        <v>1377</v>
      </c>
      <c r="L138" s="9" t="s">
        <v>1376</v>
      </c>
      <c r="M138" s="9" t="s">
        <v>1375</v>
      </c>
      <c r="N138" s="9" t="s">
        <v>1374</v>
      </c>
      <c r="O138" s="9">
        <v>-2.1469796981202101</v>
      </c>
      <c r="P138" s="4">
        <f>O138/100</f>
        <v>-2.1469796981202102E-2</v>
      </c>
      <c r="Q138" s="5">
        <f>S137</f>
        <v>778.88123959280597</v>
      </c>
      <c r="R138" s="5">
        <f>Q138*P138*$T$1</f>
        <v>-25.083633129786868</v>
      </c>
      <c r="S138" s="5">
        <f>R138+Q138</f>
        <v>753.79760646301906</v>
      </c>
      <c r="T138" s="5"/>
      <c r="U138" s="4"/>
      <c r="V138" s="9"/>
      <c r="W138" s="9"/>
      <c r="X138" s="9" t="s">
        <v>1373</v>
      </c>
      <c r="Y138" s="9" t="s">
        <v>63</v>
      </c>
      <c r="Z138" s="9" t="s">
        <v>1372</v>
      </c>
      <c r="AA138" s="9" t="s">
        <v>1371</v>
      </c>
      <c r="AB138" s="8">
        <v>45870</v>
      </c>
    </row>
    <row r="139" spans="1:28" x14ac:dyDescent="0.3">
      <c r="A139" s="15">
        <v>138</v>
      </c>
      <c r="B139" s="13" t="s">
        <v>22</v>
      </c>
      <c r="C139" s="14">
        <v>45899.333333333336</v>
      </c>
      <c r="D139" s="14">
        <v>45899.541666666664</v>
      </c>
      <c r="E139" s="14">
        <v>45901.729166666664</v>
      </c>
      <c r="F139" s="13" t="s">
        <v>1370</v>
      </c>
      <c r="G139" s="13" t="s">
        <v>1369</v>
      </c>
      <c r="H139" s="13" t="s">
        <v>1367</v>
      </c>
      <c r="I139" s="13" t="s">
        <v>1368</v>
      </c>
      <c r="J139" s="13" t="s">
        <v>1368</v>
      </c>
      <c r="K139" s="13" t="s">
        <v>1367</v>
      </c>
      <c r="L139" s="13" t="s">
        <v>1366</v>
      </c>
      <c r="M139" s="13" t="s">
        <v>1365</v>
      </c>
      <c r="N139" s="13" t="s">
        <v>1364</v>
      </c>
      <c r="O139" s="13">
        <v>8</v>
      </c>
      <c r="P139" s="4">
        <f>O139/100</f>
        <v>0.08</v>
      </c>
      <c r="Q139" s="5">
        <f>S138</f>
        <v>753.79760646301906</v>
      </c>
      <c r="R139" s="5">
        <f>Q139*P139*$T$1</f>
        <v>90.45571277556229</v>
      </c>
      <c r="S139" s="5">
        <f>R139+Q139</f>
        <v>844.2533192385813</v>
      </c>
      <c r="T139" s="5"/>
      <c r="U139" s="4"/>
      <c r="V139" s="13"/>
      <c r="W139" s="13"/>
      <c r="X139" s="13" t="s">
        <v>1363</v>
      </c>
      <c r="Y139" s="13" t="s">
        <v>2</v>
      </c>
      <c r="Z139" s="13" t="s">
        <v>1362</v>
      </c>
      <c r="AA139" s="13" t="s">
        <v>1300</v>
      </c>
      <c r="AB139" s="12">
        <v>45870</v>
      </c>
    </row>
    <row r="140" spans="1:28" x14ac:dyDescent="0.3">
      <c r="A140" s="11">
        <v>139</v>
      </c>
      <c r="B140" s="9" t="s">
        <v>11</v>
      </c>
      <c r="C140" s="10">
        <v>45900.15625</v>
      </c>
      <c r="D140" s="10">
        <v>45900.208333333336</v>
      </c>
      <c r="E140" s="10">
        <v>45901.895833333336</v>
      </c>
      <c r="F140" s="9" t="s">
        <v>1361</v>
      </c>
      <c r="G140" s="9" t="s">
        <v>1360</v>
      </c>
      <c r="H140" s="9" t="s">
        <v>1358</v>
      </c>
      <c r="I140" s="9" t="s">
        <v>1359</v>
      </c>
      <c r="J140" s="9" t="s">
        <v>1359</v>
      </c>
      <c r="K140" s="9" t="s">
        <v>1358</v>
      </c>
      <c r="L140" s="9" t="s">
        <v>1357</v>
      </c>
      <c r="M140" s="9" t="s">
        <v>1356</v>
      </c>
      <c r="N140" s="9" t="s">
        <v>1355</v>
      </c>
      <c r="O140" s="9">
        <v>6</v>
      </c>
      <c r="P140" s="4">
        <f>O140/100</f>
        <v>0.06</v>
      </c>
      <c r="Q140" s="5">
        <f>S139</f>
        <v>844.2533192385813</v>
      </c>
      <c r="R140" s="5">
        <f>Q140*P140*$T$1</f>
        <v>75.982798731472315</v>
      </c>
      <c r="S140" s="5">
        <f>R140+Q140</f>
        <v>920.23611797005356</v>
      </c>
      <c r="T140" s="5"/>
      <c r="U140" s="4"/>
      <c r="V140" s="9"/>
      <c r="W140" s="9"/>
      <c r="X140" s="9" t="s">
        <v>1354</v>
      </c>
      <c r="Y140" s="9" t="s">
        <v>2</v>
      </c>
      <c r="Z140" s="9" t="s">
        <v>1353</v>
      </c>
      <c r="AA140" s="9" t="s">
        <v>1336</v>
      </c>
      <c r="AB140" s="8">
        <v>45870</v>
      </c>
    </row>
    <row r="141" spans="1:28" x14ac:dyDescent="0.3">
      <c r="A141" s="15">
        <v>140</v>
      </c>
      <c r="B141" s="13" t="s">
        <v>42</v>
      </c>
      <c r="C141" s="14">
        <v>45900.03125</v>
      </c>
      <c r="D141" s="14">
        <v>45900.447916666664</v>
      </c>
      <c r="E141" s="14">
        <v>45901.21875</v>
      </c>
      <c r="F141" s="13" t="s">
        <v>1352</v>
      </c>
      <c r="G141" s="13" t="s">
        <v>1351</v>
      </c>
      <c r="H141" s="13" t="s">
        <v>1271</v>
      </c>
      <c r="I141" s="13" t="s">
        <v>1350</v>
      </c>
      <c r="J141" s="13" t="s">
        <v>1350</v>
      </c>
      <c r="K141" s="13" t="s">
        <v>1271</v>
      </c>
      <c r="L141" s="13" t="s">
        <v>1349</v>
      </c>
      <c r="M141" s="13" t="s">
        <v>1348</v>
      </c>
      <c r="N141" s="13" t="s">
        <v>1347</v>
      </c>
      <c r="O141" s="13">
        <v>8</v>
      </c>
      <c r="P141" s="4">
        <f>O141/100</f>
        <v>0.08</v>
      </c>
      <c r="Q141" s="5">
        <f>S140</f>
        <v>920.23611797005356</v>
      </c>
      <c r="R141" s="5">
        <f>Q141*P141*$T$1</f>
        <v>110.42833415640642</v>
      </c>
      <c r="S141" s="5">
        <f>R141+Q141</f>
        <v>1030.66445212646</v>
      </c>
      <c r="T141" s="5"/>
      <c r="U141" s="4"/>
      <c r="V141" s="13"/>
      <c r="W141" s="13"/>
      <c r="X141" s="13" t="s">
        <v>1346</v>
      </c>
      <c r="Y141" s="13" t="s">
        <v>2</v>
      </c>
      <c r="Z141" s="13" t="s">
        <v>1345</v>
      </c>
      <c r="AA141" s="13" t="s">
        <v>1327</v>
      </c>
      <c r="AB141" s="12">
        <v>45870</v>
      </c>
    </row>
    <row r="142" spans="1:28" x14ac:dyDescent="0.3">
      <c r="A142" s="11">
        <v>141</v>
      </c>
      <c r="B142" s="9" t="s">
        <v>11</v>
      </c>
      <c r="C142" s="10">
        <v>45901.322916666664</v>
      </c>
      <c r="D142" s="10">
        <v>45901.854166666664</v>
      </c>
      <c r="E142" s="10">
        <v>45903.729166666664</v>
      </c>
      <c r="F142" s="9" t="s">
        <v>1344</v>
      </c>
      <c r="G142" s="9" t="s">
        <v>1343</v>
      </c>
      <c r="H142" s="9" t="s">
        <v>1341</v>
      </c>
      <c r="I142" s="9" t="s">
        <v>1342</v>
      </c>
      <c r="J142" s="9" t="s">
        <v>1342</v>
      </c>
      <c r="K142" s="9" t="s">
        <v>1341</v>
      </c>
      <c r="L142" s="9" t="s">
        <v>1340</v>
      </c>
      <c r="M142" s="9" t="s">
        <v>1339</v>
      </c>
      <c r="N142" s="9" t="s">
        <v>1338</v>
      </c>
      <c r="O142" s="9">
        <v>-4.4509422805232299</v>
      </c>
      <c r="P142" s="4">
        <f>O142/100</f>
        <v>-4.4509422805232297E-2</v>
      </c>
      <c r="Q142" s="5">
        <f>S141</f>
        <v>1030.66445212646</v>
      </c>
      <c r="R142" s="5">
        <f>Q142*P142*$T$1</f>
        <v>-68.811419805029573</v>
      </c>
      <c r="S142" s="5">
        <f>R142+Q142</f>
        <v>961.85303232143042</v>
      </c>
      <c r="T142" s="5"/>
      <c r="U142" s="4"/>
      <c r="V142" s="9"/>
      <c r="W142" s="9"/>
      <c r="X142" s="9" t="s">
        <v>1337</v>
      </c>
      <c r="Y142" s="9" t="s">
        <v>63</v>
      </c>
      <c r="Z142" s="9" t="s">
        <v>1336</v>
      </c>
      <c r="AA142" s="9" t="s">
        <v>1318</v>
      </c>
      <c r="AB142" s="8">
        <v>45901</v>
      </c>
    </row>
    <row r="143" spans="1:28" x14ac:dyDescent="0.3">
      <c r="A143" s="15">
        <v>142</v>
      </c>
      <c r="B143" s="13" t="s">
        <v>42</v>
      </c>
      <c r="C143" s="14">
        <v>45902.40625</v>
      </c>
      <c r="D143" s="14">
        <v>45902.541666666664</v>
      </c>
      <c r="E143" s="14">
        <v>45902.583333333336</v>
      </c>
      <c r="F143" s="13" t="s">
        <v>1335</v>
      </c>
      <c r="G143" s="13" t="s">
        <v>1334</v>
      </c>
      <c r="H143" s="13" t="s">
        <v>1332</v>
      </c>
      <c r="I143" s="13" t="s">
        <v>1333</v>
      </c>
      <c r="J143" s="13" t="s">
        <v>1333</v>
      </c>
      <c r="K143" s="13" t="s">
        <v>1332</v>
      </c>
      <c r="L143" s="13" t="s">
        <v>1331</v>
      </c>
      <c r="M143" s="13" t="s">
        <v>1330</v>
      </c>
      <c r="N143" s="13" t="s">
        <v>1329</v>
      </c>
      <c r="O143" s="13">
        <v>-3.1045782584812298</v>
      </c>
      <c r="P143" s="4">
        <f>O143/100</f>
        <v>-3.1045782584812297E-2</v>
      </c>
      <c r="Q143" s="5">
        <f>S142</f>
        <v>961.85303232143042</v>
      </c>
      <c r="R143" s="5">
        <f>Q143*P143*$T$1</f>
        <v>-44.792220179990345</v>
      </c>
      <c r="S143" s="5">
        <f>R143+Q143</f>
        <v>917.06081214144012</v>
      </c>
      <c r="T143" s="5"/>
      <c r="U143" s="4"/>
      <c r="V143" s="13"/>
      <c r="W143" s="13"/>
      <c r="X143" s="13" t="s">
        <v>1328</v>
      </c>
      <c r="Y143" s="13" t="s">
        <v>63</v>
      </c>
      <c r="Z143" s="13" t="s">
        <v>1327</v>
      </c>
      <c r="AA143" s="13" t="s">
        <v>1264</v>
      </c>
      <c r="AB143" s="12">
        <v>45901</v>
      </c>
    </row>
    <row r="144" spans="1:28" x14ac:dyDescent="0.3">
      <c r="A144" s="11">
        <v>143</v>
      </c>
      <c r="B144" s="9" t="s">
        <v>11</v>
      </c>
      <c r="C144" s="10">
        <v>45903.833333333336</v>
      </c>
      <c r="D144" s="10">
        <v>45904.0625</v>
      </c>
      <c r="E144" s="10">
        <v>45907.604166666664</v>
      </c>
      <c r="F144" s="9" t="s">
        <v>1326</v>
      </c>
      <c r="G144" s="9" t="s">
        <v>1325</v>
      </c>
      <c r="H144" s="9" t="s">
        <v>1323</v>
      </c>
      <c r="I144" s="9" t="s">
        <v>1324</v>
      </c>
      <c r="J144" s="9" t="s">
        <v>1324</v>
      </c>
      <c r="K144" s="9" t="s">
        <v>1323</v>
      </c>
      <c r="L144" s="9" t="s">
        <v>1322</v>
      </c>
      <c r="M144" s="9" t="s">
        <v>1321</v>
      </c>
      <c r="N144" s="9" t="s">
        <v>1320</v>
      </c>
      <c r="O144" s="9">
        <v>-2.0294461493496998</v>
      </c>
      <c r="P144" s="4">
        <f>O144/100</f>
        <v>-2.0294461493496996E-2</v>
      </c>
      <c r="Q144" s="5">
        <f>S143</f>
        <v>917.06081214144012</v>
      </c>
      <c r="R144" s="5">
        <f>Q144*P144*$T$1</f>
        <v>-27.91688300879931</v>
      </c>
      <c r="S144" s="5">
        <f>R144+Q144</f>
        <v>889.14392913264078</v>
      </c>
      <c r="T144" s="5"/>
      <c r="U144" s="4"/>
      <c r="V144" s="9"/>
      <c r="W144" s="9"/>
      <c r="X144" s="9" t="s">
        <v>1319</v>
      </c>
      <c r="Y144" s="9" t="s">
        <v>63</v>
      </c>
      <c r="Z144" s="9" t="s">
        <v>1318</v>
      </c>
      <c r="AA144" s="9" t="s">
        <v>1309</v>
      </c>
      <c r="AB144" s="8">
        <v>45901</v>
      </c>
    </row>
    <row r="145" spans="1:28" x14ac:dyDescent="0.3">
      <c r="A145" s="15">
        <v>144</v>
      </c>
      <c r="B145" s="13" t="s">
        <v>11</v>
      </c>
      <c r="C145" s="14">
        <v>45905.5625</v>
      </c>
      <c r="D145" s="14">
        <v>45905.59375</v>
      </c>
      <c r="E145" s="14">
        <v>45907.583333333336</v>
      </c>
      <c r="F145" s="13" t="s">
        <v>1317</v>
      </c>
      <c r="G145" s="13" t="s">
        <v>1316</v>
      </c>
      <c r="H145" s="13" t="s">
        <v>1314</v>
      </c>
      <c r="I145" s="13" t="s">
        <v>1315</v>
      </c>
      <c r="J145" s="13" t="s">
        <v>1315</v>
      </c>
      <c r="K145" s="13" t="s">
        <v>1314</v>
      </c>
      <c r="L145" s="13" t="s">
        <v>1313</v>
      </c>
      <c r="M145" s="13" t="s">
        <v>1312</v>
      </c>
      <c r="N145" s="13" t="s">
        <v>1311</v>
      </c>
      <c r="O145" s="13">
        <v>-1.64098975072058</v>
      </c>
      <c r="P145" s="4">
        <f>O145/100</f>
        <v>-1.6409897507205798E-2</v>
      </c>
      <c r="Q145" s="5">
        <f>S144</f>
        <v>889.14392913264078</v>
      </c>
      <c r="R145" s="5">
        <f>Q145*P145*$T$1</f>
        <v>-21.886141119331334</v>
      </c>
      <c r="S145" s="5">
        <f>R145+Q145</f>
        <v>867.25778801330944</v>
      </c>
      <c r="T145" s="5"/>
      <c r="U145" s="4"/>
      <c r="V145" s="13"/>
      <c r="W145" s="13"/>
      <c r="X145" s="13" t="s">
        <v>1310</v>
      </c>
      <c r="Y145" s="13" t="s">
        <v>63</v>
      </c>
      <c r="Z145" s="13" t="s">
        <v>1309</v>
      </c>
      <c r="AA145" s="13" t="s">
        <v>1282</v>
      </c>
      <c r="AB145" s="12">
        <v>45901</v>
      </c>
    </row>
    <row r="146" spans="1:28" x14ac:dyDescent="0.3">
      <c r="A146" s="11">
        <v>145</v>
      </c>
      <c r="B146" s="9" t="s">
        <v>22</v>
      </c>
      <c r="C146" s="10">
        <v>45905.572916666664</v>
      </c>
      <c r="D146" s="10">
        <v>45905.59375</v>
      </c>
      <c r="E146" s="10">
        <v>45907.541666666664</v>
      </c>
      <c r="F146" s="9" t="s">
        <v>1308</v>
      </c>
      <c r="G146" s="9" t="s">
        <v>1307</v>
      </c>
      <c r="H146" s="9" t="s">
        <v>1305</v>
      </c>
      <c r="I146" s="9" t="s">
        <v>1306</v>
      </c>
      <c r="J146" s="9" t="s">
        <v>1306</v>
      </c>
      <c r="K146" s="9" t="s">
        <v>1305</v>
      </c>
      <c r="L146" s="9" t="s">
        <v>1304</v>
      </c>
      <c r="M146" s="9" t="s">
        <v>1303</v>
      </c>
      <c r="N146" s="9" t="s">
        <v>1302</v>
      </c>
      <c r="O146" s="9">
        <v>-1.2941568300078199</v>
      </c>
      <c r="P146" s="4">
        <f>O146/100</f>
        <v>-1.2941568300078199E-2</v>
      </c>
      <c r="Q146" s="5">
        <f>S145</f>
        <v>867.25778801330944</v>
      </c>
      <c r="R146" s="5">
        <f>Q146*P146*$T$1</f>
        <v>-16.835513846023478</v>
      </c>
      <c r="S146" s="5">
        <f>R146+Q146</f>
        <v>850.42227416728599</v>
      </c>
      <c r="T146" s="5"/>
      <c r="U146" s="4"/>
      <c r="V146" s="9"/>
      <c r="W146" s="9"/>
      <c r="X146" s="9" t="s">
        <v>1301</v>
      </c>
      <c r="Y146" s="9" t="s">
        <v>63</v>
      </c>
      <c r="Z146" s="9" t="s">
        <v>1300</v>
      </c>
      <c r="AA146" s="9" t="s">
        <v>1273</v>
      </c>
      <c r="AB146" s="8">
        <v>45901</v>
      </c>
    </row>
    <row r="147" spans="1:28" x14ac:dyDescent="0.3">
      <c r="A147" s="15">
        <v>146</v>
      </c>
      <c r="B147" s="13" t="s">
        <v>108</v>
      </c>
      <c r="C147" s="14">
        <v>45905.572916666664</v>
      </c>
      <c r="D147" s="14">
        <v>45905.59375</v>
      </c>
      <c r="E147" s="14">
        <v>45905.947916666664</v>
      </c>
      <c r="F147" s="13" t="s">
        <v>1299</v>
      </c>
      <c r="G147" s="13" t="s">
        <v>1298</v>
      </c>
      <c r="H147" s="13" t="s">
        <v>1296</v>
      </c>
      <c r="I147" s="13" t="s">
        <v>1297</v>
      </c>
      <c r="J147" s="13" t="s">
        <v>1297</v>
      </c>
      <c r="K147" s="13" t="s">
        <v>1296</v>
      </c>
      <c r="L147" s="13" t="s">
        <v>1295</v>
      </c>
      <c r="M147" s="13" t="s">
        <v>1294</v>
      </c>
      <c r="N147" s="13" t="s">
        <v>1293</v>
      </c>
      <c r="O147" s="13">
        <v>-1.5611034975868501</v>
      </c>
      <c r="P147" s="4">
        <f>O147/100</f>
        <v>-1.56110349758685E-2</v>
      </c>
      <c r="Q147" s="5">
        <f>S146</f>
        <v>850.42227416728599</v>
      </c>
      <c r="R147" s="5">
        <f>Q147*P147*$T$1</f>
        <v>-19.913957799424701</v>
      </c>
      <c r="S147" s="5">
        <f>R147+Q147</f>
        <v>830.50831636786131</v>
      </c>
      <c r="T147" s="5"/>
      <c r="U147" s="4"/>
      <c r="V147" s="13"/>
      <c r="W147" s="13"/>
      <c r="X147" s="13" t="s">
        <v>1292</v>
      </c>
      <c r="Y147" s="13" t="s">
        <v>63</v>
      </c>
      <c r="Z147" s="13" t="s">
        <v>1291</v>
      </c>
      <c r="AA147" s="13" t="s">
        <v>1228</v>
      </c>
      <c r="AB147" s="12">
        <v>45901</v>
      </c>
    </row>
    <row r="148" spans="1:28" x14ac:dyDescent="0.3">
      <c r="A148" s="11">
        <v>147</v>
      </c>
      <c r="B148" s="9" t="s">
        <v>11</v>
      </c>
      <c r="C148" s="10">
        <v>45907.645833333336</v>
      </c>
      <c r="D148" s="10">
        <v>45907.770833333336</v>
      </c>
      <c r="E148" s="10">
        <v>45907.916666666664</v>
      </c>
      <c r="F148" s="9" t="s">
        <v>1290</v>
      </c>
      <c r="G148" s="9" t="s">
        <v>1289</v>
      </c>
      <c r="H148" s="9" t="s">
        <v>1287</v>
      </c>
      <c r="I148" s="9" t="s">
        <v>1288</v>
      </c>
      <c r="J148" s="9" t="s">
        <v>1288</v>
      </c>
      <c r="K148" s="9" t="s">
        <v>1287</v>
      </c>
      <c r="L148" s="9" t="s">
        <v>1286</v>
      </c>
      <c r="M148" s="9" t="s">
        <v>1285</v>
      </c>
      <c r="N148" s="9" t="s">
        <v>1284</v>
      </c>
      <c r="O148" s="9">
        <v>-1.65218452352898</v>
      </c>
      <c r="P148" s="4">
        <f>O148/100</f>
        <v>-1.6521845235289802E-2</v>
      </c>
      <c r="Q148" s="5">
        <f>S147</f>
        <v>830.50831636786131</v>
      </c>
      <c r="R148" s="5">
        <f>Q148*P148*$T$1</f>
        <v>-20.582294804476355</v>
      </c>
      <c r="S148" s="5">
        <f>R148+Q148</f>
        <v>809.92602156338501</v>
      </c>
      <c r="T148" s="5"/>
      <c r="U148" s="4"/>
      <c r="V148" s="9"/>
      <c r="W148" s="9"/>
      <c r="X148" s="9" t="s">
        <v>1283</v>
      </c>
      <c r="Y148" s="9" t="s">
        <v>63</v>
      </c>
      <c r="Z148" s="9" t="s">
        <v>1282</v>
      </c>
      <c r="AA148" s="9" t="s">
        <v>1237</v>
      </c>
      <c r="AB148" s="8">
        <v>45901</v>
      </c>
    </row>
    <row r="149" spans="1:28" x14ac:dyDescent="0.3">
      <c r="A149" s="15">
        <v>148</v>
      </c>
      <c r="B149" s="13" t="s">
        <v>22</v>
      </c>
      <c r="C149" s="14">
        <v>45908.4375</v>
      </c>
      <c r="D149" s="14">
        <v>45908.458333333336</v>
      </c>
      <c r="E149" s="14">
        <v>45908.541666666664</v>
      </c>
      <c r="F149" s="13" t="s">
        <v>1281</v>
      </c>
      <c r="G149" s="13" t="s">
        <v>1280</v>
      </c>
      <c r="H149" s="13" t="s">
        <v>1278</v>
      </c>
      <c r="I149" s="13" t="s">
        <v>1279</v>
      </c>
      <c r="J149" s="13" t="s">
        <v>1279</v>
      </c>
      <c r="K149" s="13" t="s">
        <v>1278</v>
      </c>
      <c r="L149" s="13" t="s">
        <v>1277</v>
      </c>
      <c r="M149" s="13" t="s">
        <v>1276</v>
      </c>
      <c r="N149" s="13" t="s">
        <v>1275</v>
      </c>
      <c r="O149" s="13">
        <v>-1.37847561471011</v>
      </c>
      <c r="P149" s="4">
        <f>O149/100</f>
        <v>-1.3784756147101101E-2</v>
      </c>
      <c r="Q149" s="5">
        <f>S148</f>
        <v>809.92602156338501</v>
      </c>
      <c r="R149" s="5">
        <f>Q149*P149*$T$1</f>
        <v>-16.746949056664516</v>
      </c>
      <c r="S149" s="5">
        <f>R149+Q149</f>
        <v>793.17907250672044</v>
      </c>
      <c r="T149" s="5"/>
      <c r="U149" s="4"/>
      <c r="V149" s="13"/>
      <c r="W149" s="13"/>
      <c r="X149" s="13" t="s">
        <v>1274</v>
      </c>
      <c r="Y149" s="13" t="s">
        <v>63</v>
      </c>
      <c r="Z149" s="13" t="s">
        <v>1273</v>
      </c>
      <c r="AA149" s="13" t="s">
        <v>1255</v>
      </c>
      <c r="AB149" s="12">
        <v>45901</v>
      </c>
    </row>
    <row r="150" spans="1:28" x14ac:dyDescent="0.3">
      <c r="A150" s="11">
        <v>149</v>
      </c>
      <c r="B150" s="9" t="s">
        <v>42</v>
      </c>
      <c r="C150" s="10">
        <v>45908.604166666664</v>
      </c>
      <c r="D150" s="10">
        <v>45908.885416666664</v>
      </c>
      <c r="E150" s="10">
        <v>45909</v>
      </c>
      <c r="F150" s="9" t="s">
        <v>1272</v>
      </c>
      <c r="G150" s="9" t="s">
        <v>1271</v>
      </c>
      <c r="H150" s="9" t="s">
        <v>1269</v>
      </c>
      <c r="I150" s="9" t="s">
        <v>1270</v>
      </c>
      <c r="J150" s="9" t="s">
        <v>1270</v>
      </c>
      <c r="K150" s="9" t="s">
        <v>1269</v>
      </c>
      <c r="L150" s="9" t="s">
        <v>1268</v>
      </c>
      <c r="M150" s="9" t="s">
        <v>1267</v>
      </c>
      <c r="N150" s="9" t="s">
        <v>1266</v>
      </c>
      <c r="O150" s="9">
        <v>-1.9959711116389101</v>
      </c>
      <c r="P150" s="4">
        <f>O150/100</f>
        <v>-1.9959711116389101E-2</v>
      </c>
      <c r="Q150" s="5">
        <f>S149</f>
        <v>793.17907250672044</v>
      </c>
      <c r="R150" s="5">
        <f>Q150*P150*$T$1</f>
        <v>-23.747437726199379</v>
      </c>
      <c r="S150" s="5">
        <f>R150+Q150</f>
        <v>769.43163478052111</v>
      </c>
      <c r="T150" s="5"/>
      <c r="U150" s="4"/>
      <c r="V150" s="9"/>
      <c r="W150" s="9"/>
      <c r="X150" s="9" t="s">
        <v>1265</v>
      </c>
      <c r="Y150" s="9" t="s">
        <v>63</v>
      </c>
      <c r="Z150" s="9" t="s">
        <v>1264</v>
      </c>
      <c r="AA150" s="9" t="s">
        <v>1246</v>
      </c>
      <c r="AB150" s="8">
        <v>45901</v>
      </c>
    </row>
    <row r="151" spans="1:28" x14ac:dyDescent="0.3">
      <c r="A151" s="15">
        <v>150</v>
      </c>
      <c r="B151" s="13" t="s">
        <v>22</v>
      </c>
      <c r="C151" s="14">
        <v>45909.302083333336</v>
      </c>
      <c r="D151" s="14">
        <v>45909.46875</v>
      </c>
      <c r="E151" s="14">
        <v>45912.020833333336</v>
      </c>
      <c r="F151" s="13" t="s">
        <v>1263</v>
      </c>
      <c r="G151" s="13" t="s">
        <v>1262</v>
      </c>
      <c r="H151" s="13" t="s">
        <v>1260</v>
      </c>
      <c r="I151" s="13" t="s">
        <v>1261</v>
      </c>
      <c r="J151" s="13" t="s">
        <v>1261</v>
      </c>
      <c r="K151" s="13" t="s">
        <v>1260</v>
      </c>
      <c r="L151" s="13" t="s">
        <v>1259</v>
      </c>
      <c r="M151" s="13" t="s">
        <v>1258</v>
      </c>
      <c r="N151" s="13" t="s">
        <v>1257</v>
      </c>
      <c r="O151" s="13">
        <v>-2.75106315317504</v>
      </c>
      <c r="P151" s="4">
        <f>O151/100</f>
        <v>-2.7510631531750401E-2</v>
      </c>
      <c r="Q151" s="5">
        <f>S150</f>
        <v>769.43163478052111</v>
      </c>
      <c r="R151" s="5">
        <f>Q151*P151*$T$1</f>
        <v>-31.751325289978894</v>
      </c>
      <c r="S151" s="5">
        <f>R151+Q151</f>
        <v>737.68030949054219</v>
      </c>
      <c r="T151" s="5"/>
      <c r="U151" s="4"/>
      <c r="V151" s="13"/>
      <c r="W151" s="13"/>
      <c r="X151" s="13" t="s">
        <v>1256</v>
      </c>
      <c r="Y151" s="13" t="s">
        <v>63</v>
      </c>
      <c r="Z151" s="13" t="s">
        <v>1255</v>
      </c>
      <c r="AA151" s="13" t="s">
        <v>1211</v>
      </c>
      <c r="AB151" s="12">
        <v>45901</v>
      </c>
    </row>
    <row r="152" spans="1:28" x14ac:dyDescent="0.3">
      <c r="A152" s="11">
        <v>151</v>
      </c>
      <c r="B152" s="9" t="s">
        <v>42</v>
      </c>
      <c r="C152" s="10">
        <v>45909.302083333336</v>
      </c>
      <c r="D152" s="10">
        <v>45909.5625</v>
      </c>
      <c r="E152" s="10">
        <v>45910.34375</v>
      </c>
      <c r="F152" s="9" t="s">
        <v>1254</v>
      </c>
      <c r="G152" s="9" t="s">
        <v>1253</v>
      </c>
      <c r="H152" s="9" t="s">
        <v>1251</v>
      </c>
      <c r="I152" s="9" t="s">
        <v>1252</v>
      </c>
      <c r="J152" s="9" t="s">
        <v>1252</v>
      </c>
      <c r="K152" s="9" t="s">
        <v>1251</v>
      </c>
      <c r="L152" s="9" t="s">
        <v>1250</v>
      </c>
      <c r="M152" s="9" t="s">
        <v>1249</v>
      </c>
      <c r="N152" s="9" t="s">
        <v>1248</v>
      </c>
      <c r="O152" s="9">
        <v>-2.5483783047151798</v>
      </c>
      <c r="P152" s="4">
        <f>O152/100</f>
        <v>-2.5483783047151799E-2</v>
      </c>
      <c r="Q152" s="5">
        <f>S151</f>
        <v>737.68030949054219</v>
      </c>
      <c r="R152" s="5">
        <f>Q152*P152*$T$1</f>
        <v>-28.198327447819157</v>
      </c>
      <c r="S152" s="5">
        <f>R152+Q152</f>
        <v>709.48198204272308</v>
      </c>
      <c r="T152" s="5"/>
      <c r="U152" s="4"/>
      <c r="V152" s="9"/>
      <c r="W152" s="9"/>
      <c r="X152" s="9" t="s">
        <v>1247</v>
      </c>
      <c r="Y152" s="9" t="s">
        <v>63</v>
      </c>
      <c r="Z152" s="9" t="s">
        <v>1246</v>
      </c>
      <c r="AA152" s="9" t="s">
        <v>1202</v>
      </c>
      <c r="AB152" s="8">
        <v>45901</v>
      </c>
    </row>
    <row r="153" spans="1:28" x14ac:dyDescent="0.3">
      <c r="A153" s="15">
        <v>152</v>
      </c>
      <c r="B153" s="13" t="s">
        <v>11</v>
      </c>
      <c r="C153" s="14">
        <v>45909.510416666664</v>
      </c>
      <c r="D153" s="14">
        <v>45909.604166666664</v>
      </c>
      <c r="E153" s="14">
        <v>45911.135416666664</v>
      </c>
      <c r="F153" s="13" t="s">
        <v>1245</v>
      </c>
      <c r="G153" s="13" t="s">
        <v>1244</v>
      </c>
      <c r="H153" s="13" t="s">
        <v>1242</v>
      </c>
      <c r="I153" s="13" t="s">
        <v>1243</v>
      </c>
      <c r="J153" s="13" t="s">
        <v>1243</v>
      </c>
      <c r="K153" s="13" t="s">
        <v>1242</v>
      </c>
      <c r="L153" s="13" t="s">
        <v>1241</v>
      </c>
      <c r="M153" s="13" t="s">
        <v>1240</v>
      </c>
      <c r="N153" s="13" t="s">
        <v>1239</v>
      </c>
      <c r="O153" s="13">
        <v>-2.9276477275473001</v>
      </c>
      <c r="P153" s="4">
        <f>O153/100</f>
        <v>-2.9276477275473001E-2</v>
      </c>
      <c r="Q153" s="5">
        <f>S152</f>
        <v>709.48198204272308</v>
      </c>
      <c r="R153" s="5">
        <f>Q153*P153*$T$1</f>
        <v>-31.15669968694699</v>
      </c>
      <c r="S153" s="5">
        <f>R153+Q153</f>
        <v>678.32528235577604</v>
      </c>
      <c r="T153" s="5"/>
      <c r="U153" s="4"/>
      <c r="V153" s="13"/>
      <c r="W153" s="13"/>
      <c r="X153" s="13" t="s">
        <v>1238</v>
      </c>
      <c r="Y153" s="13" t="s">
        <v>63</v>
      </c>
      <c r="Z153" s="13" t="s">
        <v>1237</v>
      </c>
      <c r="AA153" s="13" t="s">
        <v>1193</v>
      </c>
      <c r="AB153" s="12">
        <v>45901</v>
      </c>
    </row>
    <row r="154" spans="1:28" x14ac:dyDescent="0.3">
      <c r="A154" s="11">
        <v>153</v>
      </c>
      <c r="B154" s="9" t="s">
        <v>108</v>
      </c>
      <c r="C154" s="10">
        <v>45907.947916666664</v>
      </c>
      <c r="D154" s="10">
        <v>45909.708333333336</v>
      </c>
      <c r="E154" s="10">
        <v>45912.21875</v>
      </c>
      <c r="F154" s="9" t="s">
        <v>1236</v>
      </c>
      <c r="G154" s="9" t="s">
        <v>1235</v>
      </c>
      <c r="H154" s="9" t="s">
        <v>1233</v>
      </c>
      <c r="I154" s="9" t="s">
        <v>1234</v>
      </c>
      <c r="J154" s="9" t="s">
        <v>1234</v>
      </c>
      <c r="K154" s="9" t="s">
        <v>1233</v>
      </c>
      <c r="L154" s="9" t="s">
        <v>1232</v>
      </c>
      <c r="M154" s="9" t="s">
        <v>1231</v>
      </c>
      <c r="N154" s="9" t="s">
        <v>1230</v>
      </c>
      <c r="O154" s="9">
        <v>-4.7578206768228801</v>
      </c>
      <c r="P154" s="4">
        <f>O154/100</f>
        <v>-4.7578206768228798E-2</v>
      </c>
      <c r="Q154" s="5">
        <f>S153</f>
        <v>678.32528235577604</v>
      </c>
      <c r="R154" s="5">
        <f>Q154*P154*$T$1</f>
        <v>-48.410250810060447</v>
      </c>
      <c r="S154" s="5">
        <f>R154+Q154</f>
        <v>629.91503154571558</v>
      </c>
      <c r="T154" s="5"/>
      <c r="U154" s="4"/>
      <c r="V154" s="9"/>
      <c r="W154" s="9"/>
      <c r="X154" s="9" t="s">
        <v>1229</v>
      </c>
      <c r="Y154" s="9" t="s">
        <v>63</v>
      </c>
      <c r="Z154" s="9" t="s">
        <v>1228</v>
      </c>
      <c r="AA154" s="9" t="s">
        <v>1220</v>
      </c>
      <c r="AB154" s="8">
        <v>45901</v>
      </c>
    </row>
    <row r="155" spans="1:28" x14ac:dyDescent="0.3">
      <c r="A155" s="15">
        <v>154</v>
      </c>
      <c r="B155" s="13" t="s">
        <v>108</v>
      </c>
      <c r="C155" s="14">
        <v>45910.302083333336</v>
      </c>
      <c r="D155" s="14">
        <v>45910.375</v>
      </c>
      <c r="E155" s="14">
        <v>45910.958333333336</v>
      </c>
      <c r="F155" s="13" t="s">
        <v>1227</v>
      </c>
      <c r="G155" s="13" t="s">
        <v>1226</v>
      </c>
      <c r="H155" s="13" t="s">
        <v>758</v>
      </c>
      <c r="I155" s="13" t="s">
        <v>1225</v>
      </c>
      <c r="J155" s="13" t="s">
        <v>1225</v>
      </c>
      <c r="K155" s="13" t="s">
        <v>758</v>
      </c>
      <c r="L155" s="13" t="s">
        <v>1224</v>
      </c>
      <c r="M155" s="13" t="s">
        <v>1223</v>
      </c>
      <c r="N155" s="13" t="s">
        <v>1222</v>
      </c>
      <c r="O155" s="13">
        <v>-1.6822644542688101</v>
      </c>
      <c r="P155" s="4">
        <f>O155/100</f>
        <v>-1.68226445426881E-2</v>
      </c>
      <c r="Q155" s="5">
        <f>S154</f>
        <v>629.91503154571558</v>
      </c>
      <c r="R155" s="5">
        <f>Q155*P155*$T$1</f>
        <v>-15.895255001684601</v>
      </c>
      <c r="S155" s="5">
        <f>R155+Q155</f>
        <v>614.01977654403095</v>
      </c>
      <c r="T155" s="5"/>
      <c r="U155" s="4"/>
      <c r="V155" s="13"/>
      <c r="W155" s="13"/>
      <c r="X155" s="13" t="s">
        <v>1221</v>
      </c>
      <c r="Y155" s="13" t="s">
        <v>63</v>
      </c>
      <c r="Z155" s="13" t="s">
        <v>1220</v>
      </c>
      <c r="AA155" s="13" t="s">
        <v>1113</v>
      </c>
      <c r="AB155" s="12">
        <v>45901</v>
      </c>
    </row>
    <row r="156" spans="1:28" x14ac:dyDescent="0.3">
      <c r="A156" s="11">
        <v>155</v>
      </c>
      <c r="B156" s="9" t="s">
        <v>22</v>
      </c>
      <c r="C156" s="10">
        <v>45910.604166666664</v>
      </c>
      <c r="D156" s="10">
        <v>45910.6875</v>
      </c>
      <c r="E156" s="10">
        <v>45911.135416666664</v>
      </c>
      <c r="F156" s="9" t="s">
        <v>1219</v>
      </c>
      <c r="G156" s="9" t="s">
        <v>1218</v>
      </c>
      <c r="H156" s="9" t="s">
        <v>1216</v>
      </c>
      <c r="I156" s="9" t="s">
        <v>1217</v>
      </c>
      <c r="J156" s="9" t="s">
        <v>1217</v>
      </c>
      <c r="K156" s="9" t="s">
        <v>1216</v>
      </c>
      <c r="L156" s="9" t="s">
        <v>1215</v>
      </c>
      <c r="M156" s="9" t="s">
        <v>1214</v>
      </c>
      <c r="N156" s="9" t="s">
        <v>1213</v>
      </c>
      <c r="O156" s="9">
        <v>-1.16154171828203</v>
      </c>
      <c r="P156" s="4">
        <f>O156/100</f>
        <v>-1.16154171828203E-2</v>
      </c>
      <c r="Q156" s="5">
        <f>S155</f>
        <v>614.01977654403095</v>
      </c>
      <c r="R156" s="5">
        <f>Q156*P156*$T$1</f>
        <v>-10.698143794591527</v>
      </c>
      <c r="S156" s="5">
        <f>R156+Q156</f>
        <v>603.32163274943946</v>
      </c>
      <c r="T156" s="5"/>
      <c r="U156" s="4"/>
      <c r="V156" s="9"/>
      <c r="W156" s="9"/>
      <c r="X156" s="9" t="s">
        <v>1212</v>
      </c>
      <c r="Y156" s="9" t="s">
        <v>63</v>
      </c>
      <c r="Z156" s="9" t="s">
        <v>1211</v>
      </c>
      <c r="AA156" s="9" t="s">
        <v>1184</v>
      </c>
      <c r="AB156" s="8">
        <v>45901</v>
      </c>
    </row>
    <row r="157" spans="1:28" x14ac:dyDescent="0.3">
      <c r="A157" s="15">
        <v>156</v>
      </c>
      <c r="B157" s="13" t="s">
        <v>42</v>
      </c>
      <c r="C157" s="14">
        <v>45910.645833333336</v>
      </c>
      <c r="D157" s="14">
        <v>45910.71875</v>
      </c>
      <c r="E157" s="14">
        <v>45912.010416666664</v>
      </c>
      <c r="F157" s="13" t="s">
        <v>1210</v>
      </c>
      <c r="G157" s="13" t="s">
        <v>1209</v>
      </c>
      <c r="H157" s="13" t="s">
        <v>1207</v>
      </c>
      <c r="I157" s="13" t="s">
        <v>1208</v>
      </c>
      <c r="J157" s="13" t="s">
        <v>1208</v>
      </c>
      <c r="K157" s="13" t="s">
        <v>1207</v>
      </c>
      <c r="L157" s="13" t="s">
        <v>1206</v>
      </c>
      <c r="M157" s="13" t="s">
        <v>1205</v>
      </c>
      <c r="N157" s="13" t="s">
        <v>1204</v>
      </c>
      <c r="O157" s="13">
        <v>-1.8966951157476499</v>
      </c>
      <c r="P157" s="4">
        <f>O157/100</f>
        <v>-1.89669511574765E-2</v>
      </c>
      <c r="Q157" s="5">
        <f>S156</f>
        <v>603.32163274943946</v>
      </c>
      <c r="R157" s="5">
        <f>Q157*P157*$T$1</f>
        <v>-17.164757910911391</v>
      </c>
      <c r="S157" s="5">
        <f>R157+Q157</f>
        <v>586.1568748385281</v>
      </c>
      <c r="T157" s="5"/>
      <c r="U157" s="4"/>
      <c r="V157" s="13"/>
      <c r="W157" s="13"/>
      <c r="X157" s="13" t="s">
        <v>1203</v>
      </c>
      <c r="Y157" s="13" t="s">
        <v>63</v>
      </c>
      <c r="Z157" s="13" t="s">
        <v>1202</v>
      </c>
      <c r="AA157" s="13" t="s">
        <v>1175</v>
      </c>
      <c r="AB157" s="12">
        <v>45901</v>
      </c>
    </row>
    <row r="158" spans="1:28" x14ac:dyDescent="0.3">
      <c r="A158" s="11">
        <v>157</v>
      </c>
      <c r="B158" s="9" t="s">
        <v>11</v>
      </c>
      <c r="C158" s="10">
        <v>45911.510416666664</v>
      </c>
      <c r="D158" s="10">
        <v>45911.520833333336</v>
      </c>
      <c r="E158" s="10">
        <v>45911.916666666664</v>
      </c>
      <c r="F158" s="9" t="s">
        <v>1201</v>
      </c>
      <c r="G158" s="9" t="s">
        <v>1200</v>
      </c>
      <c r="H158" s="9" t="s">
        <v>1198</v>
      </c>
      <c r="I158" s="9" t="s">
        <v>1199</v>
      </c>
      <c r="J158" s="9" t="s">
        <v>1199</v>
      </c>
      <c r="K158" s="9" t="s">
        <v>1198</v>
      </c>
      <c r="L158" s="9" t="s">
        <v>1197</v>
      </c>
      <c r="M158" s="9" t="s">
        <v>1196</v>
      </c>
      <c r="N158" s="9" t="s">
        <v>1195</v>
      </c>
      <c r="O158" s="9">
        <v>-1.31452734954918</v>
      </c>
      <c r="P158" s="4">
        <f>O158/100</f>
        <v>-1.3145273495491801E-2</v>
      </c>
      <c r="Q158" s="5">
        <f>S157</f>
        <v>586.1568748385281</v>
      </c>
      <c r="R158" s="5">
        <f>Q158*P158*$T$1</f>
        <v>-11.557788646522813</v>
      </c>
      <c r="S158" s="5">
        <f>R158+Q158</f>
        <v>574.5990861920053</v>
      </c>
      <c r="T158" s="5"/>
      <c r="U158" s="4"/>
      <c r="V158" s="9"/>
      <c r="W158" s="9"/>
      <c r="X158" s="9" t="s">
        <v>1194</v>
      </c>
      <c r="Y158" s="9" t="s">
        <v>63</v>
      </c>
      <c r="Z158" s="9" t="s">
        <v>1193</v>
      </c>
      <c r="AA158" s="9" t="s">
        <v>1166</v>
      </c>
      <c r="AB158" s="8">
        <v>45901</v>
      </c>
    </row>
    <row r="159" spans="1:28" x14ac:dyDescent="0.3">
      <c r="A159" s="15">
        <v>158</v>
      </c>
      <c r="B159" s="13" t="s">
        <v>22</v>
      </c>
      <c r="C159" s="14">
        <v>45912.302083333336</v>
      </c>
      <c r="D159" s="14">
        <v>45912.333333333336</v>
      </c>
      <c r="E159" s="14">
        <v>45912.677083333336</v>
      </c>
      <c r="F159" s="13" t="s">
        <v>1192</v>
      </c>
      <c r="G159" s="13" t="s">
        <v>1191</v>
      </c>
      <c r="H159" s="13" t="s">
        <v>1189</v>
      </c>
      <c r="I159" s="13" t="s">
        <v>1190</v>
      </c>
      <c r="J159" s="13" t="s">
        <v>1190</v>
      </c>
      <c r="K159" s="13" t="s">
        <v>1189</v>
      </c>
      <c r="L159" s="13" t="s">
        <v>1188</v>
      </c>
      <c r="M159" s="13" t="s">
        <v>1187</v>
      </c>
      <c r="N159" s="13" t="s">
        <v>1186</v>
      </c>
      <c r="O159" s="13">
        <v>-1.6840693553022299</v>
      </c>
      <c r="P159" s="4">
        <f>O159/100</f>
        <v>-1.6840693553022298E-2</v>
      </c>
      <c r="Q159" s="5">
        <f>S158</f>
        <v>574.5990861920053</v>
      </c>
      <c r="R159" s="5">
        <f>Q159*P159*$T$1</f>
        <v>-14.51497068960931</v>
      </c>
      <c r="S159" s="5">
        <f>R159+Q159</f>
        <v>560.084115502396</v>
      </c>
      <c r="T159" s="5"/>
      <c r="U159" s="4"/>
      <c r="V159" s="13"/>
      <c r="W159" s="13"/>
      <c r="X159" s="13" t="s">
        <v>1185</v>
      </c>
      <c r="Y159" s="13" t="s">
        <v>63</v>
      </c>
      <c r="Z159" s="13" t="s">
        <v>1184</v>
      </c>
      <c r="AA159" s="13" t="s">
        <v>1095</v>
      </c>
      <c r="AB159" s="12">
        <v>45901</v>
      </c>
    </row>
    <row r="160" spans="1:28" x14ac:dyDescent="0.3">
      <c r="A160" s="11">
        <v>159</v>
      </c>
      <c r="B160" s="9" t="s">
        <v>42</v>
      </c>
      <c r="C160" s="10">
        <v>45912.03125</v>
      </c>
      <c r="D160" s="10">
        <v>45912.416666666664</v>
      </c>
      <c r="E160" s="10">
        <v>45913.427083333336</v>
      </c>
      <c r="F160" s="9" t="s">
        <v>1183</v>
      </c>
      <c r="G160" s="9" t="s">
        <v>1182</v>
      </c>
      <c r="H160" s="9" t="s">
        <v>1180</v>
      </c>
      <c r="I160" s="9" t="s">
        <v>1181</v>
      </c>
      <c r="J160" s="9" t="s">
        <v>1181</v>
      </c>
      <c r="K160" s="9" t="s">
        <v>1180</v>
      </c>
      <c r="L160" s="9" t="s">
        <v>1179</v>
      </c>
      <c r="M160" s="9" t="s">
        <v>1178</v>
      </c>
      <c r="N160" s="9" t="s">
        <v>1177</v>
      </c>
      <c r="O160" s="9">
        <v>-3.43701981640567</v>
      </c>
      <c r="P160" s="4">
        <f>O160/100</f>
        <v>-3.4370198164056703E-2</v>
      </c>
      <c r="Q160" s="5">
        <f>S159</f>
        <v>560.084115502396</v>
      </c>
      <c r="R160" s="5">
        <f>Q160*P160*$T$1</f>
        <v>-28.875303057536662</v>
      </c>
      <c r="S160" s="5">
        <f>R160+Q160</f>
        <v>531.20881244485929</v>
      </c>
      <c r="T160" s="5"/>
      <c r="U160" s="4"/>
      <c r="V160" s="9"/>
      <c r="W160" s="9"/>
      <c r="X160" s="9" t="s">
        <v>1176</v>
      </c>
      <c r="Y160" s="9" t="s">
        <v>63</v>
      </c>
      <c r="Z160" s="9" t="s">
        <v>1175</v>
      </c>
      <c r="AA160" s="9" t="s">
        <v>1157</v>
      </c>
      <c r="AB160" s="8">
        <v>45901</v>
      </c>
    </row>
    <row r="161" spans="1:28" x14ac:dyDescent="0.3">
      <c r="A161" s="15">
        <v>160</v>
      </c>
      <c r="B161" s="13" t="s">
        <v>11</v>
      </c>
      <c r="C161" s="14">
        <v>45913.5625</v>
      </c>
      <c r="D161" s="14">
        <v>45913.572916666664</v>
      </c>
      <c r="E161" s="14">
        <v>45914.604166666664</v>
      </c>
      <c r="F161" s="13" t="s">
        <v>1174</v>
      </c>
      <c r="G161" s="13" t="s">
        <v>1173</v>
      </c>
      <c r="H161" s="13" t="s">
        <v>1171</v>
      </c>
      <c r="I161" s="13" t="s">
        <v>1172</v>
      </c>
      <c r="J161" s="13" t="s">
        <v>1172</v>
      </c>
      <c r="K161" s="13" t="s">
        <v>1171</v>
      </c>
      <c r="L161" s="13" t="s">
        <v>1170</v>
      </c>
      <c r="M161" s="13" t="s">
        <v>1169</v>
      </c>
      <c r="N161" s="13" t="s">
        <v>1168</v>
      </c>
      <c r="O161" s="13">
        <v>6</v>
      </c>
      <c r="P161" s="4">
        <f>O161/100</f>
        <v>0.06</v>
      </c>
      <c r="Q161" s="5">
        <f>S160</f>
        <v>531.20881244485929</v>
      </c>
      <c r="R161" s="5">
        <f>Q161*P161*$T$1</f>
        <v>47.808793120037336</v>
      </c>
      <c r="S161" s="5">
        <f>R161+Q161</f>
        <v>579.0176055648966</v>
      </c>
      <c r="T161" s="5"/>
      <c r="U161" s="4"/>
      <c r="V161" s="13"/>
      <c r="W161" s="13"/>
      <c r="X161" s="13" t="s">
        <v>1167</v>
      </c>
      <c r="Y161" s="13" t="s">
        <v>2</v>
      </c>
      <c r="Z161" s="13" t="s">
        <v>1166</v>
      </c>
      <c r="AA161" s="13" t="s">
        <v>1148</v>
      </c>
      <c r="AB161" s="12">
        <v>45901</v>
      </c>
    </row>
    <row r="162" spans="1:28" x14ac:dyDescent="0.3">
      <c r="A162" s="11">
        <v>161</v>
      </c>
      <c r="B162" s="9" t="s">
        <v>42</v>
      </c>
      <c r="C162" s="10">
        <v>45913.552083333336</v>
      </c>
      <c r="D162" s="10">
        <v>45913.572916666664</v>
      </c>
      <c r="E162" s="10">
        <v>45914.604166666664</v>
      </c>
      <c r="F162" s="9" t="s">
        <v>1165</v>
      </c>
      <c r="G162" s="9" t="s">
        <v>1164</v>
      </c>
      <c r="H162" s="9" t="s">
        <v>1162</v>
      </c>
      <c r="I162" s="9" t="s">
        <v>1163</v>
      </c>
      <c r="J162" s="9" t="s">
        <v>1163</v>
      </c>
      <c r="K162" s="9" t="s">
        <v>1162</v>
      </c>
      <c r="L162" s="9" t="s">
        <v>1161</v>
      </c>
      <c r="M162" s="9" t="s">
        <v>1160</v>
      </c>
      <c r="N162" s="9" t="s">
        <v>1159</v>
      </c>
      <c r="O162" s="9">
        <v>8</v>
      </c>
      <c r="P162" s="4">
        <f>O162/100</f>
        <v>0.08</v>
      </c>
      <c r="Q162" s="5">
        <f>S161</f>
        <v>579.0176055648966</v>
      </c>
      <c r="R162" s="5">
        <f>Q162*P162*$T$1</f>
        <v>69.48211266778759</v>
      </c>
      <c r="S162" s="5">
        <f>R162+Q162</f>
        <v>648.49971823268424</v>
      </c>
      <c r="T162" s="5"/>
      <c r="U162" s="4"/>
      <c r="V162" s="9"/>
      <c r="W162" s="9"/>
      <c r="X162" s="9" t="s">
        <v>1158</v>
      </c>
      <c r="Y162" s="9" t="s">
        <v>2</v>
      </c>
      <c r="Z162" s="9" t="s">
        <v>1157</v>
      </c>
      <c r="AA162" s="9" t="s">
        <v>1139</v>
      </c>
      <c r="AB162" s="8">
        <v>45901</v>
      </c>
    </row>
    <row r="163" spans="1:28" x14ac:dyDescent="0.3">
      <c r="A163" s="15">
        <v>162</v>
      </c>
      <c r="B163" s="13" t="s">
        <v>11</v>
      </c>
      <c r="C163" s="14">
        <v>45916.916666666664</v>
      </c>
      <c r="D163" s="14">
        <v>45917.083333333336</v>
      </c>
      <c r="E163" s="14">
        <v>45917.729166666664</v>
      </c>
      <c r="F163" s="13" t="s">
        <v>1156</v>
      </c>
      <c r="G163" s="13" t="s">
        <v>1155</v>
      </c>
      <c r="H163" s="13" t="s">
        <v>1153</v>
      </c>
      <c r="I163" s="13" t="s">
        <v>1154</v>
      </c>
      <c r="J163" s="13" t="s">
        <v>1154</v>
      </c>
      <c r="K163" s="13" t="s">
        <v>1153</v>
      </c>
      <c r="L163" s="13" t="s">
        <v>1152</v>
      </c>
      <c r="M163" s="13" t="s">
        <v>1151</v>
      </c>
      <c r="N163" s="13" t="s">
        <v>1150</v>
      </c>
      <c r="O163" s="13">
        <v>-1.3528480844148201</v>
      </c>
      <c r="P163" s="4">
        <f>O163/100</f>
        <v>-1.35284808441482E-2</v>
      </c>
      <c r="Q163" s="5">
        <f>S162</f>
        <v>648.49971823268424</v>
      </c>
      <c r="R163" s="5">
        <f>Q163*P163*$T$1</f>
        <v>-13.159824023319562</v>
      </c>
      <c r="S163" s="5">
        <f>R163+Q163</f>
        <v>635.33989420936473</v>
      </c>
      <c r="T163" s="5"/>
      <c r="U163" s="4"/>
      <c r="V163" s="13"/>
      <c r="W163" s="13"/>
      <c r="X163" s="13" t="s">
        <v>1149</v>
      </c>
      <c r="Y163" s="13" t="s">
        <v>63</v>
      </c>
      <c r="Z163" s="13" t="s">
        <v>1148</v>
      </c>
      <c r="AA163" s="13" t="s">
        <v>1130</v>
      </c>
      <c r="AB163" s="12">
        <v>45901</v>
      </c>
    </row>
    <row r="164" spans="1:28" x14ac:dyDescent="0.3">
      <c r="A164" s="11">
        <v>163</v>
      </c>
      <c r="B164" s="9" t="s">
        <v>42</v>
      </c>
      <c r="C164" s="10">
        <v>45916.916666666664</v>
      </c>
      <c r="D164" s="10">
        <v>45917.09375</v>
      </c>
      <c r="E164" s="10">
        <v>45917.8125</v>
      </c>
      <c r="F164" s="9" t="s">
        <v>1147</v>
      </c>
      <c r="G164" s="9" t="s">
        <v>1146</v>
      </c>
      <c r="H164" s="9" t="s">
        <v>1144</v>
      </c>
      <c r="I164" s="9" t="s">
        <v>1145</v>
      </c>
      <c r="J164" s="9" t="s">
        <v>1145</v>
      </c>
      <c r="K164" s="9" t="s">
        <v>1144</v>
      </c>
      <c r="L164" s="9" t="s">
        <v>1143</v>
      </c>
      <c r="M164" s="9" t="s">
        <v>1142</v>
      </c>
      <c r="N164" s="9" t="s">
        <v>1141</v>
      </c>
      <c r="O164" s="9">
        <v>-0.94990854917694201</v>
      </c>
      <c r="P164" s="4">
        <f>O164/100</f>
        <v>-9.4990854917694195E-3</v>
      </c>
      <c r="Q164" s="5">
        <f>S163</f>
        <v>635.33989420936473</v>
      </c>
      <c r="R164" s="5">
        <f>Q164*P164*$T$1</f>
        <v>-9.0527219571397417</v>
      </c>
      <c r="S164" s="5">
        <f>R164+Q164</f>
        <v>626.28717225222499</v>
      </c>
      <c r="T164" s="5"/>
      <c r="U164" s="4"/>
      <c r="V164" s="9"/>
      <c r="W164" s="9"/>
      <c r="X164" s="9" t="s">
        <v>1140</v>
      </c>
      <c r="Y164" s="9" t="s">
        <v>63</v>
      </c>
      <c r="Z164" s="9" t="s">
        <v>1139</v>
      </c>
      <c r="AA164" s="9" t="s">
        <v>1077</v>
      </c>
      <c r="AB164" s="8">
        <v>45901</v>
      </c>
    </row>
    <row r="165" spans="1:28" x14ac:dyDescent="0.3">
      <c r="A165" s="15">
        <v>164</v>
      </c>
      <c r="B165" s="13" t="s">
        <v>11</v>
      </c>
      <c r="C165" s="14">
        <v>45918</v>
      </c>
      <c r="D165" s="14">
        <v>45918.083333333336</v>
      </c>
      <c r="E165" s="14">
        <v>45918.65625</v>
      </c>
      <c r="F165" s="13" t="s">
        <v>1138</v>
      </c>
      <c r="G165" s="13" t="s">
        <v>1137</v>
      </c>
      <c r="H165" s="13" t="s">
        <v>1135</v>
      </c>
      <c r="I165" s="13" t="s">
        <v>1136</v>
      </c>
      <c r="J165" s="13" t="s">
        <v>1136</v>
      </c>
      <c r="K165" s="13" t="s">
        <v>1135</v>
      </c>
      <c r="L165" s="13" t="s">
        <v>1134</v>
      </c>
      <c r="M165" s="13" t="s">
        <v>1133</v>
      </c>
      <c r="N165" s="13" t="s">
        <v>1132</v>
      </c>
      <c r="O165" s="13">
        <v>-1.6320893356302899</v>
      </c>
      <c r="P165" s="4">
        <f>O165/100</f>
        <v>-1.63208933563029E-2</v>
      </c>
      <c r="Q165" s="5">
        <f>S164</f>
        <v>626.28717225222499</v>
      </c>
      <c r="R165" s="5">
        <f>Q165*P165*$T$1</f>
        <v>-15.332349223123604</v>
      </c>
      <c r="S165" s="5">
        <f>R165+Q165</f>
        <v>610.95482302910136</v>
      </c>
      <c r="T165" s="5"/>
      <c r="U165" s="4"/>
      <c r="V165" s="13"/>
      <c r="W165" s="13"/>
      <c r="X165" s="13" t="s">
        <v>1131</v>
      </c>
      <c r="Y165" s="13" t="s">
        <v>63</v>
      </c>
      <c r="Z165" s="13" t="s">
        <v>1130</v>
      </c>
      <c r="AA165" s="13" t="s">
        <v>1121</v>
      </c>
      <c r="AB165" s="12">
        <v>45901</v>
      </c>
    </row>
    <row r="166" spans="1:28" x14ac:dyDescent="0.3">
      <c r="A166" s="11">
        <v>165</v>
      </c>
      <c r="B166" s="9" t="s">
        <v>11</v>
      </c>
      <c r="C166" s="10">
        <v>45918.666666666664</v>
      </c>
      <c r="D166" s="10">
        <v>45918.885416666664</v>
      </c>
      <c r="E166" s="10">
        <v>45919.75</v>
      </c>
      <c r="F166" s="9" t="s">
        <v>1129</v>
      </c>
      <c r="G166" s="9" t="s">
        <v>1128</v>
      </c>
      <c r="H166" s="9" t="s">
        <v>1126</v>
      </c>
      <c r="I166" s="9" t="s">
        <v>1127</v>
      </c>
      <c r="J166" s="9" t="s">
        <v>1127</v>
      </c>
      <c r="K166" s="9" t="s">
        <v>1126</v>
      </c>
      <c r="L166" s="9" t="s">
        <v>1125</v>
      </c>
      <c r="M166" s="9" t="s">
        <v>1124</v>
      </c>
      <c r="N166" s="9" t="s">
        <v>1123</v>
      </c>
      <c r="O166" s="9">
        <v>6</v>
      </c>
      <c r="P166" s="4">
        <f>O166/100</f>
        <v>0.06</v>
      </c>
      <c r="Q166" s="5">
        <f>S165</f>
        <v>610.95482302910136</v>
      </c>
      <c r="R166" s="5">
        <f>Q166*P166*$T$1</f>
        <v>54.985934072619123</v>
      </c>
      <c r="S166" s="5">
        <f>R166+Q166</f>
        <v>665.94075710172046</v>
      </c>
      <c r="T166" s="5"/>
      <c r="U166" s="4"/>
      <c r="V166" s="9"/>
      <c r="W166" s="9"/>
      <c r="X166" s="9" t="s">
        <v>1122</v>
      </c>
      <c r="Y166" s="9" t="s">
        <v>2</v>
      </c>
      <c r="Z166" s="9" t="s">
        <v>1121</v>
      </c>
      <c r="AA166" s="9" t="s">
        <v>1104</v>
      </c>
      <c r="AB166" s="8">
        <v>45901</v>
      </c>
    </row>
    <row r="167" spans="1:28" x14ac:dyDescent="0.3">
      <c r="A167" s="15">
        <v>166</v>
      </c>
      <c r="B167" s="13" t="s">
        <v>108</v>
      </c>
      <c r="C167" s="14">
        <v>45920.21875</v>
      </c>
      <c r="D167" s="14">
        <v>45920.395833333336</v>
      </c>
      <c r="E167" s="14">
        <v>45922.25</v>
      </c>
      <c r="F167" s="13" t="s">
        <v>1120</v>
      </c>
      <c r="G167" s="13" t="s">
        <v>1119</v>
      </c>
      <c r="H167" s="13" t="s">
        <v>361</v>
      </c>
      <c r="I167" s="13" t="s">
        <v>1118</v>
      </c>
      <c r="J167" s="13" t="s">
        <v>1118</v>
      </c>
      <c r="K167" s="13" t="s">
        <v>361</v>
      </c>
      <c r="L167" s="13" t="s">
        <v>1117</v>
      </c>
      <c r="M167" s="13" t="s">
        <v>1116</v>
      </c>
      <c r="N167" s="13" t="s">
        <v>1115</v>
      </c>
      <c r="O167" s="13">
        <v>10</v>
      </c>
      <c r="P167" s="4">
        <f>O167/100</f>
        <v>0.1</v>
      </c>
      <c r="Q167" s="5">
        <f>S166</f>
        <v>665.94075710172046</v>
      </c>
      <c r="R167" s="5">
        <f>Q167*P167*$T$1</f>
        <v>99.891113565258081</v>
      </c>
      <c r="S167" s="5">
        <f>R167+Q167</f>
        <v>765.8318706669786</v>
      </c>
      <c r="T167" s="5"/>
      <c r="U167" s="4"/>
      <c r="V167" s="13"/>
      <c r="W167" s="13"/>
      <c r="X167" s="13" t="s">
        <v>1114</v>
      </c>
      <c r="Y167" s="13" t="s">
        <v>2</v>
      </c>
      <c r="Z167" s="13" t="s">
        <v>1113</v>
      </c>
      <c r="AA167" s="13" t="s">
        <v>1086</v>
      </c>
      <c r="AB167" s="12">
        <v>45901</v>
      </c>
    </row>
    <row r="168" spans="1:28" x14ac:dyDescent="0.3">
      <c r="A168" s="11">
        <v>167</v>
      </c>
      <c r="B168" s="9" t="s">
        <v>11</v>
      </c>
      <c r="C168" s="10">
        <v>45924.614583333336</v>
      </c>
      <c r="D168" s="10">
        <v>45924.8125</v>
      </c>
      <c r="E168" s="10">
        <v>45925.510416666664</v>
      </c>
      <c r="F168" s="9" t="s">
        <v>1112</v>
      </c>
      <c r="G168" s="9" t="s">
        <v>1111</v>
      </c>
      <c r="H168" s="9" t="s">
        <v>1109</v>
      </c>
      <c r="I168" s="9" t="s">
        <v>1110</v>
      </c>
      <c r="J168" s="9" t="s">
        <v>1110</v>
      </c>
      <c r="K168" s="9" t="s">
        <v>1109</v>
      </c>
      <c r="L168" s="9" t="s">
        <v>1108</v>
      </c>
      <c r="M168" s="9" t="s">
        <v>1107</v>
      </c>
      <c r="N168" s="9" t="s">
        <v>1106</v>
      </c>
      <c r="O168" s="9">
        <v>6</v>
      </c>
      <c r="P168" s="4">
        <f>O168/100</f>
        <v>0.06</v>
      </c>
      <c r="Q168" s="5">
        <f>S167</f>
        <v>765.8318706669786</v>
      </c>
      <c r="R168" s="5">
        <f>Q168*P168*$T$1</f>
        <v>68.924868360028071</v>
      </c>
      <c r="S168" s="5">
        <f>R168+Q168</f>
        <v>834.75673902700669</v>
      </c>
      <c r="T168" s="5"/>
      <c r="U168" s="4"/>
      <c r="V168" s="9"/>
      <c r="W168" s="9"/>
      <c r="X168" s="9" t="s">
        <v>1105</v>
      </c>
      <c r="Y168" s="9" t="s">
        <v>2</v>
      </c>
      <c r="Z168" s="9" t="s">
        <v>1104</v>
      </c>
      <c r="AA168" s="9" t="s">
        <v>1068</v>
      </c>
      <c r="AB168" s="8">
        <v>45901</v>
      </c>
    </row>
    <row r="169" spans="1:28" x14ac:dyDescent="0.3">
      <c r="A169" s="15">
        <v>168</v>
      </c>
      <c r="B169" s="13" t="s">
        <v>22</v>
      </c>
      <c r="C169" s="14">
        <v>45924.520833333336</v>
      </c>
      <c r="D169" s="14">
        <v>45924.822916666664</v>
      </c>
      <c r="E169" s="14">
        <v>45925.708333333336</v>
      </c>
      <c r="F169" s="13" t="s">
        <v>1103</v>
      </c>
      <c r="G169" s="13" t="s">
        <v>1102</v>
      </c>
      <c r="H169" s="13" t="s">
        <v>1100</v>
      </c>
      <c r="I169" s="13" t="s">
        <v>1101</v>
      </c>
      <c r="J169" s="13" t="s">
        <v>1101</v>
      </c>
      <c r="K169" s="13" t="s">
        <v>1100</v>
      </c>
      <c r="L169" s="13" t="s">
        <v>1099</v>
      </c>
      <c r="M169" s="13" t="s">
        <v>1098</v>
      </c>
      <c r="N169" s="13" t="s">
        <v>1097</v>
      </c>
      <c r="O169" s="13">
        <v>8</v>
      </c>
      <c r="P169" s="4">
        <f>O169/100</f>
        <v>0.08</v>
      </c>
      <c r="Q169" s="5">
        <f>S168</f>
        <v>834.75673902700669</v>
      </c>
      <c r="R169" s="5">
        <f>Q169*P169*$T$1</f>
        <v>100.17080868324081</v>
      </c>
      <c r="S169" s="5">
        <f>R169+Q169</f>
        <v>934.9275477102475</v>
      </c>
      <c r="T169" s="5"/>
      <c r="U169" s="4"/>
      <c r="V169" s="13"/>
      <c r="W169" s="13"/>
      <c r="X169" s="13" t="s">
        <v>1096</v>
      </c>
      <c r="Y169" s="13" t="s">
        <v>2</v>
      </c>
      <c r="Z169" s="13" t="s">
        <v>1095</v>
      </c>
      <c r="AA169" s="13" t="s">
        <v>1094</v>
      </c>
      <c r="AB169" s="12">
        <v>45901</v>
      </c>
    </row>
    <row r="170" spans="1:28" x14ac:dyDescent="0.3">
      <c r="A170" s="11">
        <v>169</v>
      </c>
      <c r="B170" s="9" t="s">
        <v>108</v>
      </c>
      <c r="C170" s="10">
        <v>45926.760416666664</v>
      </c>
      <c r="D170" s="10">
        <v>45927.333333333336</v>
      </c>
      <c r="E170" s="10">
        <v>45927.927083333336</v>
      </c>
      <c r="F170" s="9" t="s">
        <v>1093</v>
      </c>
      <c r="G170" s="9" t="s">
        <v>1092</v>
      </c>
      <c r="H170" s="9" t="s">
        <v>1028</v>
      </c>
      <c r="I170" s="9" t="s">
        <v>1091</v>
      </c>
      <c r="J170" s="9" t="s">
        <v>1091</v>
      </c>
      <c r="K170" s="9" t="s">
        <v>1028</v>
      </c>
      <c r="L170" s="9" t="s">
        <v>1090</v>
      </c>
      <c r="M170" s="9" t="s">
        <v>1089</v>
      </c>
      <c r="N170" s="9" t="s">
        <v>1088</v>
      </c>
      <c r="O170" s="9">
        <v>-1.28636588824163</v>
      </c>
      <c r="P170" s="4">
        <f>O170/100</f>
        <v>-1.28636588824163E-2</v>
      </c>
      <c r="Q170" s="5">
        <f>S169</f>
        <v>934.9275477102475</v>
      </c>
      <c r="R170" s="5">
        <f>Q170*P170*$T$1</f>
        <v>-18.039883580277923</v>
      </c>
      <c r="S170" s="5">
        <f>R170+Q170</f>
        <v>916.88766412996961</v>
      </c>
      <c r="T170" s="5"/>
      <c r="U170" s="4"/>
      <c r="V170" s="9"/>
      <c r="W170" s="9"/>
      <c r="X170" s="9" t="s">
        <v>1087</v>
      </c>
      <c r="Y170" s="9" t="s">
        <v>63</v>
      </c>
      <c r="Z170" s="9" t="s">
        <v>1086</v>
      </c>
      <c r="AA170" s="9" t="s">
        <v>1041</v>
      </c>
      <c r="AB170" s="8">
        <v>45901</v>
      </c>
    </row>
    <row r="171" spans="1:28" x14ac:dyDescent="0.3">
      <c r="A171" s="15">
        <v>170</v>
      </c>
      <c r="B171" s="13" t="s">
        <v>42</v>
      </c>
      <c r="C171" s="14">
        <v>45927.135416666664</v>
      </c>
      <c r="D171" s="14">
        <v>45927.385416666664</v>
      </c>
      <c r="E171" s="14">
        <v>45927.927083333336</v>
      </c>
      <c r="F171" s="13" t="s">
        <v>1085</v>
      </c>
      <c r="G171" s="13" t="s">
        <v>1084</v>
      </c>
      <c r="H171" s="13" t="s">
        <v>1082</v>
      </c>
      <c r="I171" s="13" t="s">
        <v>1083</v>
      </c>
      <c r="J171" s="13" t="s">
        <v>1083</v>
      </c>
      <c r="K171" s="13" t="s">
        <v>1082</v>
      </c>
      <c r="L171" s="13" t="s">
        <v>1081</v>
      </c>
      <c r="M171" s="13" t="s">
        <v>1080</v>
      </c>
      <c r="N171" s="13" t="s">
        <v>1079</v>
      </c>
      <c r="O171" s="13">
        <v>-3.2870584230872102</v>
      </c>
      <c r="P171" s="4">
        <f>O171/100</f>
        <v>-3.2870584230872101E-2</v>
      </c>
      <c r="Q171" s="5">
        <f>S170</f>
        <v>916.88766412996961</v>
      </c>
      <c r="R171" s="5">
        <f>Q171*P171*$T$1</f>
        <v>-45.207949791047596</v>
      </c>
      <c r="S171" s="5">
        <f>R171+Q171</f>
        <v>871.67971433892205</v>
      </c>
      <c r="T171" s="5"/>
      <c r="U171" s="4"/>
      <c r="V171" s="13"/>
      <c r="W171" s="13"/>
      <c r="X171" s="13" t="s">
        <v>1078</v>
      </c>
      <c r="Y171" s="13" t="s">
        <v>63</v>
      </c>
      <c r="Z171" s="13" t="s">
        <v>1077</v>
      </c>
      <c r="AA171" s="13" t="s">
        <v>1005</v>
      </c>
      <c r="AB171" s="12">
        <v>45901</v>
      </c>
    </row>
    <row r="172" spans="1:28" x14ac:dyDescent="0.3">
      <c r="A172" s="11">
        <v>171</v>
      </c>
      <c r="B172" s="9" t="s">
        <v>11</v>
      </c>
      <c r="C172" s="10">
        <v>45927.927083333336</v>
      </c>
      <c r="D172" s="10">
        <v>45928</v>
      </c>
      <c r="E172" s="10">
        <v>45928.84375</v>
      </c>
      <c r="F172" s="9" t="s">
        <v>1076</v>
      </c>
      <c r="G172" s="9" t="s">
        <v>1075</v>
      </c>
      <c r="H172" s="9" t="s">
        <v>1073</v>
      </c>
      <c r="I172" s="9" t="s">
        <v>1074</v>
      </c>
      <c r="J172" s="9" t="s">
        <v>1074</v>
      </c>
      <c r="K172" s="9" t="s">
        <v>1073</v>
      </c>
      <c r="L172" s="9" t="s">
        <v>1072</v>
      </c>
      <c r="M172" s="9" t="s">
        <v>1071</v>
      </c>
      <c r="N172" s="9" t="s">
        <v>1070</v>
      </c>
      <c r="O172" s="9">
        <v>-1.1243845778088799</v>
      </c>
      <c r="P172" s="4">
        <f>O172/100</f>
        <v>-1.1243845778088799E-2</v>
      </c>
      <c r="Q172" s="5">
        <f>S171</f>
        <v>871.67971433892205</v>
      </c>
      <c r="R172" s="5">
        <f>Q172*P172*$T$1</f>
        <v>-14.701548413873009</v>
      </c>
      <c r="S172" s="5">
        <f>R172+Q172</f>
        <v>856.9781659250491</v>
      </c>
      <c r="T172" s="5"/>
      <c r="U172" s="4"/>
      <c r="V172" s="9"/>
      <c r="W172" s="9"/>
      <c r="X172" s="9" t="s">
        <v>1069</v>
      </c>
      <c r="Y172" s="9" t="s">
        <v>63</v>
      </c>
      <c r="Z172" s="9" t="s">
        <v>1068</v>
      </c>
      <c r="AA172" s="9" t="s">
        <v>1050</v>
      </c>
      <c r="AB172" s="8">
        <v>45901</v>
      </c>
    </row>
    <row r="173" spans="1:28" x14ac:dyDescent="0.3">
      <c r="A173" s="15">
        <v>172</v>
      </c>
      <c r="B173" s="13" t="s">
        <v>22</v>
      </c>
      <c r="C173" s="14">
        <v>45928.989583333336</v>
      </c>
      <c r="D173" s="14">
        <v>45929.072916666664</v>
      </c>
      <c r="E173" s="14">
        <v>45930.635416666664</v>
      </c>
      <c r="F173" s="13" t="s">
        <v>1067</v>
      </c>
      <c r="G173" s="13" t="s">
        <v>1066</v>
      </c>
      <c r="H173" s="13" t="s">
        <v>1064</v>
      </c>
      <c r="I173" s="13" t="s">
        <v>1065</v>
      </c>
      <c r="J173" s="13" t="s">
        <v>1065</v>
      </c>
      <c r="K173" s="13" t="s">
        <v>1064</v>
      </c>
      <c r="L173" s="13" t="s">
        <v>1063</v>
      </c>
      <c r="M173" s="13" t="s">
        <v>1062</v>
      </c>
      <c r="N173" s="13" t="s">
        <v>1061</v>
      </c>
      <c r="O173" s="13">
        <v>8</v>
      </c>
      <c r="P173" s="4">
        <f>O173/100</f>
        <v>0.08</v>
      </c>
      <c r="Q173" s="5">
        <f>S172</f>
        <v>856.9781659250491</v>
      </c>
      <c r="R173" s="5">
        <f>Q173*P173*$T$1</f>
        <v>102.8373799110059</v>
      </c>
      <c r="S173" s="5">
        <f>R173+Q173</f>
        <v>959.81554583605498</v>
      </c>
      <c r="T173" s="5"/>
      <c r="U173" s="4"/>
      <c r="V173" s="13"/>
      <c r="W173" s="13"/>
      <c r="X173" s="13" t="s">
        <v>1060</v>
      </c>
      <c r="Y173" s="13" t="s">
        <v>2</v>
      </c>
      <c r="Z173" s="13" t="s">
        <v>1059</v>
      </c>
      <c r="AA173" s="13" t="s">
        <v>987</v>
      </c>
      <c r="AB173" s="12">
        <v>45901</v>
      </c>
    </row>
    <row r="174" spans="1:28" x14ac:dyDescent="0.3">
      <c r="A174" s="11">
        <v>173</v>
      </c>
      <c r="B174" s="9" t="s">
        <v>11</v>
      </c>
      <c r="C174" s="10">
        <v>45928.989583333336</v>
      </c>
      <c r="D174" s="10">
        <v>45929.09375</v>
      </c>
      <c r="E174" s="10">
        <v>45929.854166666664</v>
      </c>
      <c r="F174" s="9" t="s">
        <v>1058</v>
      </c>
      <c r="G174" s="9" t="s">
        <v>1057</v>
      </c>
      <c r="H174" s="9" t="s">
        <v>1055</v>
      </c>
      <c r="I174" s="9" t="s">
        <v>1056</v>
      </c>
      <c r="J174" s="9" t="s">
        <v>1056</v>
      </c>
      <c r="K174" s="9" t="s">
        <v>1055</v>
      </c>
      <c r="L174" s="9" t="s">
        <v>1054</v>
      </c>
      <c r="M174" s="9" t="s">
        <v>1053</v>
      </c>
      <c r="N174" s="9" t="s">
        <v>1052</v>
      </c>
      <c r="O174" s="9">
        <v>-0.53238531228295305</v>
      </c>
      <c r="P174" s="4">
        <f>O174/100</f>
        <v>-5.3238531228295303E-3</v>
      </c>
      <c r="Q174" s="5">
        <f>S173</f>
        <v>959.81554583605498</v>
      </c>
      <c r="R174" s="5">
        <f>Q174*P174*$T$1</f>
        <v>-7.6648754865594171</v>
      </c>
      <c r="S174" s="5">
        <f>R174+Q174</f>
        <v>952.15067034949561</v>
      </c>
      <c r="T174" s="5"/>
      <c r="U174" s="4"/>
      <c r="V174" s="9"/>
      <c r="W174" s="9"/>
      <c r="X174" s="9" t="s">
        <v>1051</v>
      </c>
      <c r="Y174" s="9" t="s">
        <v>63</v>
      </c>
      <c r="Z174" s="9" t="s">
        <v>1050</v>
      </c>
      <c r="AA174" s="9" t="s">
        <v>1032</v>
      </c>
      <c r="AB174" s="8">
        <v>45901</v>
      </c>
    </row>
    <row r="175" spans="1:28" x14ac:dyDescent="0.3">
      <c r="A175" s="15">
        <v>174</v>
      </c>
      <c r="B175" s="13" t="s">
        <v>108</v>
      </c>
      <c r="C175" s="14">
        <v>45928.854166666664</v>
      </c>
      <c r="D175" s="14">
        <v>45929.4375</v>
      </c>
      <c r="E175" s="14">
        <v>45929.59375</v>
      </c>
      <c r="F175" s="13" t="s">
        <v>1049</v>
      </c>
      <c r="G175" s="13" t="s">
        <v>1048</v>
      </c>
      <c r="H175" s="13" t="s">
        <v>1046</v>
      </c>
      <c r="I175" s="13" t="s">
        <v>1047</v>
      </c>
      <c r="J175" s="13" t="s">
        <v>1047</v>
      </c>
      <c r="K175" s="13" t="s">
        <v>1046</v>
      </c>
      <c r="L175" s="13" t="s">
        <v>1045</v>
      </c>
      <c r="M175" s="13" t="s">
        <v>1044</v>
      </c>
      <c r="N175" s="13" t="s">
        <v>1043</v>
      </c>
      <c r="O175" s="13">
        <v>-1.3658933383043199</v>
      </c>
      <c r="P175" s="4">
        <f>O175/100</f>
        <v>-1.3658933383043199E-2</v>
      </c>
      <c r="Q175" s="5">
        <f>S174</f>
        <v>952.15067034949561</v>
      </c>
      <c r="R175" s="5">
        <f>Q175*P175*$T$1</f>
        <v>-19.508043865385527</v>
      </c>
      <c r="S175" s="5">
        <f>R175+Q175</f>
        <v>932.64262648411011</v>
      </c>
      <c r="T175" s="5"/>
      <c r="U175" s="4"/>
      <c r="V175" s="13"/>
      <c r="W175" s="13"/>
      <c r="X175" s="13" t="s">
        <v>1042</v>
      </c>
      <c r="Y175" s="13" t="s">
        <v>63</v>
      </c>
      <c r="Z175" s="13" t="s">
        <v>1041</v>
      </c>
      <c r="AA175" s="13" t="s">
        <v>1023</v>
      </c>
      <c r="AB175" s="12">
        <v>45901</v>
      </c>
    </row>
    <row r="176" spans="1:28" x14ac:dyDescent="0.3">
      <c r="A176" s="11">
        <v>175</v>
      </c>
      <c r="B176" s="9" t="s">
        <v>11</v>
      </c>
      <c r="C176" s="10">
        <v>45929.864583333336</v>
      </c>
      <c r="D176" s="10">
        <v>45930.03125</v>
      </c>
      <c r="E176" s="10">
        <v>45931.354166666664</v>
      </c>
      <c r="F176" s="9" t="s">
        <v>1040</v>
      </c>
      <c r="G176" s="9" t="s">
        <v>1039</v>
      </c>
      <c r="H176" s="9" t="s">
        <v>1037</v>
      </c>
      <c r="I176" s="9" t="s">
        <v>1038</v>
      </c>
      <c r="J176" s="9" t="s">
        <v>1038</v>
      </c>
      <c r="K176" s="9" t="s">
        <v>1037</v>
      </c>
      <c r="L176" s="9" t="s">
        <v>1036</v>
      </c>
      <c r="M176" s="9" t="s">
        <v>1035</v>
      </c>
      <c r="N176" s="9" t="s">
        <v>1034</v>
      </c>
      <c r="O176" s="9">
        <v>-2.2594726775738998</v>
      </c>
      <c r="P176" s="4">
        <f>O176/100</f>
        <v>-2.2594726775738996E-2</v>
      </c>
      <c r="Q176" s="5">
        <f>S175</f>
        <v>932.64262648411011</v>
      </c>
      <c r="R176" s="5">
        <f>Q176*P176*$T$1</f>
        <v>-31.609207987224099</v>
      </c>
      <c r="S176" s="5">
        <f>R176+Q176</f>
        <v>901.03341849688604</v>
      </c>
      <c r="T176" s="5"/>
      <c r="U176" s="4"/>
      <c r="V176" s="9"/>
      <c r="W176" s="9"/>
      <c r="X176" s="9" t="s">
        <v>1033</v>
      </c>
      <c r="Y176" s="9" t="s">
        <v>63</v>
      </c>
      <c r="Z176" s="9" t="s">
        <v>1032</v>
      </c>
      <c r="AA176" s="9" t="s">
        <v>969</v>
      </c>
      <c r="AB176" s="8">
        <v>45901</v>
      </c>
    </row>
    <row r="177" spans="1:28" x14ac:dyDescent="0.3">
      <c r="A177" s="15">
        <v>176</v>
      </c>
      <c r="B177" s="13" t="s">
        <v>108</v>
      </c>
      <c r="C177" s="14">
        <v>45930.895833333336</v>
      </c>
      <c r="D177" s="14">
        <v>45931.15625</v>
      </c>
      <c r="E177" s="14">
        <v>45931.354166666664</v>
      </c>
      <c r="F177" s="13" t="s">
        <v>1031</v>
      </c>
      <c r="G177" s="13" t="s">
        <v>1030</v>
      </c>
      <c r="H177" s="13" t="s">
        <v>1028</v>
      </c>
      <c r="I177" s="13" t="s">
        <v>1029</v>
      </c>
      <c r="J177" s="13" t="s">
        <v>1029</v>
      </c>
      <c r="K177" s="13" t="s">
        <v>1028</v>
      </c>
      <c r="L177" s="13" t="s">
        <v>1027</v>
      </c>
      <c r="M177" s="13" t="s">
        <v>1026</v>
      </c>
      <c r="N177" s="13" t="s">
        <v>1025</v>
      </c>
      <c r="O177" s="13">
        <v>-1.19819758312281</v>
      </c>
      <c r="P177" s="4">
        <f>O177/100</f>
        <v>-1.1981975831228099E-2</v>
      </c>
      <c r="Q177" s="5">
        <f>S176</f>
        <v>901.03341849688604</v>
      </c>
      <c r="R177" s="5">
        <f>Q177*P177*$T$1</f>
        <v>-16.194240965337784</v>
      </c>
      <c r="S177" s="5">
        <f>R177+Q177</f>
        <v>884.83917753154822</v>
      </c>
      <c r="T177" s="5"/>
      <c r="U177" s="4"/>
      <c r="V177" s="13"/>
      <c r="W177" s="13"/>
      <c r="X177" s="13" t="s">
        <v>1024</v>
      </c>
      <c r="Y177" s="13" t="s">
        <v>63</v>
      </c>
      <c r="Z177" s="13" t="s">
        <v>1023</v>
      </c>
      <c r="AA177" s="13" t="s">
        <v>1014</v>
      </c>
      <c r="AB177" s="12">
        <v>45931</v>
      </c>
    </row>
    <row r="178" spans="1:28" x14ac:dyDescent="0.3">
      <c r="A178" s="11">
        <v>177</v>
      </c>
      <c r="B178" s="9" t="s">
        <v>108</v>
      </c>
      <c r="C178" s="10">
        <v>45931.5</v>
      </c>
      <c r="D178" s="10">
        <v>45931.666666666664</v>
      </c>
      <c r="E178" s="10">
        <v>45931.927083333336</v>
      </c>
      <c r="F178" s="9" t="s">
        <v>1022</v>
      </c>
      <c r="G178" s="9" t="s">
        <v>1021</v>
      </c>
      <c r="H178" s="9" t="s">
        <v>1019</v>
      </c>
      <c r="I178" s="9" t="s">
        <v>1020</v>
      </c>
      <c r="J178" s="9" t="s">
        <v>1020</v>
      </c>
      <c r="K178" s="9" t="s">
        <v>1019</v>
      </c>
      <c r="L178" s="9" t="s">
        <v>1018</v>
      </c>
      <c r="M178" s="9" t="s">
        <v>1017</v>
      </c>
      <c r="N178" s="9" t="s">
        <v>1016</v>
      </c>
      <c r="O178" s="9">
        <v>-5.6464934674876197</v>
      </c>
      <c r="P178" s="4">
        <f>O178/100</f>
        <v>-5.6464934674876198E-2</v>
      </c>
      <c r="Q178" s="5">
        <f>S177</f>
        <v>884.83917753154822</v>
      </c>
      <c r="R178" s="5">
        <f>Q178*P178*$T$1</f>
        <v>-74.943579535635081</v>
      </c>
      <c r="S178" s="5">
        <f>R178+Q178</f>
        <v>809.89559799591314</v>
      </c>
      <c r="T178" s="5"/>
      <c r="U178" s="4"/>
      <c r="V178" s="9"/>
      <c r="W178" s="9"/>
      <c r="X178" s="9" t="s">
        <v>1015</v>
      </c>
      <c r="Y178" s="9" t="s">
        <v>63</v>
      </c>
      <c r="Z178" s="9" t="s">
        <v>1014</v>
      </c>
      <c r="AA178" s="9" t="s">
        <v>978</v>
      </c>
      <c r="AB178" s="8">
        <v>45931</v>
      </c>
    </row>
    <row r="179" spans="1:28" x14ac:dyDescent="0.3">
      <c r="A179" s="15">
        <v>178</v>
      </c>
      <c r="B179" s="13" t="s">
        <v>42</v>
      </c>
      <c r="C179" s="14">
        <v>45931.40625</v>
      </c>
      <c r="D179" s="14">
        <v>45931.9375</v>
      </c>
      <c r="E179" s="14">
        <v>45932.114583333336</v>
      </c>
      <c r="F179" s="13" t="s">
        <v>1013</v>
      </c>
      <c r="G179" s="13" t="s">
        <v>1012</v>
      </c>
      <c r="H179" s="13" t="s">
        <v>1010</v>
      </c>
      <c r="I179" s="13" t="s">
        <v>1011</v>
      </c>
      <c r="J179" s="13" t="s">
        <v>1011</v>
      </c>
      <c r="K179" s="13" t="s">
        <v>1010</v>
      </c>
      <c r="L179" s="13" t="s">
        <v>1009</v>
      </c>
      <c r="M179" s="13" t="s">
        <v>1008</v>
      </c>
      <c r="N179" s="13" t="s">
        <v>1007</v>
      </c>
      <c r="O179" s="13">
        <v>-5.6052045882554404</v>
      </c>
      <c r="P179" s="4">
        <f>O179/100</f>
        <v>-5.6052045882554406E-2</v>
      </c>
      <c r="Q179" s="5">
        <f>S178</f>
        <v>809.89559799591314</v>
      </c>
      <c r="R179" s="5">
        <f>Q179*P179*$T$1</f>
        <v>-68.094457828418641</v>
      </c>
      <c r="S179" s="5">
        <f>R179+Q179</f>
        <v>741.80114016749451</v>
      </c>
      <c r="T179" s="5"/>
      <c r="U179" s="4"/>
      <c r="V179" s="13"/>
      <c r="W179" s="13"/>
      <c r="X179" s="13" t="s">
        <v>1006</v>
      </c>
      <c r="Y179" s="13" t="s">
        <v>63</v>
      </c>
      <c r="Z179" s="13" t="s">
        <v>1005</v>
      </c>
      <c r="AA179" s="13" t="s">
        <v>996</v>
      </c>
      <c r="AB179" s="12">
        <v>45931</v>
      </c>
    </row>
    <row r="180" spans="1:28" x14ac:dyDescent="0.3">
      <c r="A180" s="11">
        <v>179</v>
      </c>
      <c r="B180" s="9" t="s">
        <v>42</v>
      </c>
      <c r="C180" s="10">
        <v>45932.28125</v>
      </c>
      <c r="D180" s="10">
        <v>45932.541666666664</v>
      </c>
      <c r="E180" s="10">
        <v>45933.666666666664</v>
      </c>
      <c r="F180" s="9" t="s">
        <v>1004</v>
      </c>
      <c r="G180" s="9" t="s">
        <v>1003</v>
      </c>
      <c r="H180" s="9" t="s">
        <v>1001</v>
      </c>
      <c r="I180" s="9" t="s">
        <v>1002</v>
      </c>
      <c r="J180" s="9" t="s">
        <v>1002</v>
      </c>
      <c r="K180" s="9" t="s">
        <v>1001</v>
      </c>
      <c r="L180" s="9" t="s">
        <v>1000</v>
      </c>
      <c r="M180" s="9" t="s">
        <v>999</v>
      </c>
      <c r="N180" s="9" t="s">
        <v>998</v>
      </c>
      <c r="O180" s="9">
        <v>-1.78549054003259</v>
      </c>
      <c r="P180" s="4">
        <f>O180/100</f>
        <v>-1.7854905400325902E-2</v>
      </c>
      <c r="Q180" s="5">
        <f>S179</f>
        <v>741.80114016749451</v>
      </c>
      <c r="R180" s="5">
        <f>Q180*P180*$T$1</f>
        <v>-19.867183775316761</v>
      </c>
      <c r="S180" s="5">
        <f>R180+Q180</f>
        <v>721.93395639217772</v>
      </c>
      <c r="T180" s="5"/>
      <c r="U180" s="4"/>
      <c r="V180" s="9"/>
      <c r="W180" s="9"/>
      <c r="X180" s="9" t="s">
        <v>997</v>
      </c>
      <c r="Y180" s="9" t="s">
        <v>63</v>
      </c>
      <c r="Z180" s="9" t="s">
        <v>996</v>
      </c>
      <c r="AA180" s="9" t="s">
        <v>960</v>
      </c>
      <c r="AB180" s="8">
        <v>45931</v>
      </c>
    </row>
    <row r="181" spans="1:28" x14ac:dyDescent="0.3">
      <c r="A181" s="15">
        <v>180</v>
      </c>
      <c r="B181" s="13" t="s">
        <v>22</v>
      </c>
      <c r="C181" s="14">
        <v>45932.104166666664</v>
      </c>
      <c r="D181" s="14">
        <v>45932.614583333336</v>
      </c>
      <c r="E181" s="14">
        <v>45933.697916666664</v>
      </c>
      <c r="F181" s="13" t="s">
        <v>995</v>
      </c>
      <c r="G181" s="13" t="s">
        <v>994</v>
      </c>
      <c r="H181" s="13" t="s">
        <v>992</v>
      </c>
      <c r="I181" s="13" t="s">
        <v>993</v>
      </c>
      <c r="J181" s="13" t="s">
        <v>993</v>
      </c>
      <c r="K181" s="13" t="s">
        <v>992</v>
      </c>
      <c r="L181" s="13" t="s">
        <v>991</v>
      </c>
      <c r="M181" s="13" t="s">
        <v>990</v>
      </c>
      <c r="N181" s="13" t="s">
        <v>989</v>
      </c>
      <c r="O181" s="13">
        <v>-7.2566160838648202</v>
      </c>
      <c r="P181" s="4">
        <f>O181/100</f>
        <v>-7.2566160838648197E-2</v>
      </c>
      <c r="Q181" s="5">
        <f>S180</f>
        <v>721.93395639217772</v>
      </c>
      <c r="R181" s="5">
        <f>Q181*P181*$T$1</f>
        <v>-78.581963391654611</v>
      </c>
      <c r="S181" s="5">
        <f>R181+Q181</f>
        <v>643.35199300052307</v>
      </c>
      <c r="T181" s="5"/>
      <c r="U181" s="4"/>
      <c r="V181" s="13"/>
      <c r="W181" s="13"/>
      <c r="X181" s="13" t="s">
        <v>988</v>
      </c>
      <c r="Y181" s="13" t="s">
        <v>63</v>
      </c>
      <c r="Z181" s="13" t="s">
        <v>987</v>
      </c>
      <c r="AA181" s="13" t="s">
        <v>951</v>
      </c>
      <c r="AB181" s="12">
        <v>45931</v>
      </c>
    </row>
    <row r="182" spans="1:28" x14ac:dyDescent="0.3">
      <c r="A182" s="11">
        <v>181</v>
      </c>
      <c r="B182" s="9" t="s">
        <v>108</v>
      </c>
      <c r="C182" s="10">
        <v>45933.6875</v>
      </c>
      <c r="D182" s="10">
        <v>45933.708333333336</v>
      </c>
      <c r="E182" s="10">
        <v>45936.791666666664</v>
      </c>
      <c r="F182" s="9" t="s">
        <v>986</v>
      </c>
      <c r="G182" s="9" t="s">
        <v>985</v>
      </c>
      <c r="H182" s="9" t="s">
        <v>983</v>
      </c>
      <c r="I182" s="9" t="s">
        <v>984</v>
      </c>
      <c r="J182" s="9" t="s">
        <v>984</v>
      </c>
      <c r="K182" s="9" t="s">
        <v>983</v>
      </c>
      <c r="L182" s="9" t="s">
        <v>982</v>
      </c>
      <c r="M182" s="9" t="s">
        <v>981</v>
      </c>
      <c r="N182" s="9" t="s">
        <v>980</v>
      </c>
      <c r="O182" s="9">
        <v>-1.54947836286189</v>
      </c>
      <c r="P182" s="4">
        <f>O182/100</f>
        <v>-1.54947836286189E-2</v>
      </c>
      <c r="Q182" s="5">
        <f>S181</f>
        <v>643.35199300052307</v>
      </c>
      <c r="R182" s="5">
        <f>Q182*P182*$T$1</f>
        <v>-14.952899892875768</v>
      </c>
      <c r="S182" s="5">
        <f>R182+Q182</f>
        <v>628.39909310764733</v>
      </c>
      <c r="T182" s="5"/>
      <c r="U182" s="4"/>
      <c r="V182" s="9"/>
      <c r="W182" s="9"/>
      <c r="X182" s="9" t="s">
        <v>979</v>
      </c>
      <c r="Y182" s="9" t="s">
        <v>63</v>
      </c>
      <c r="Z182" s="9" t="s">
        <v>978</v>
      </c>
      <c r="AA182" s="9" t="s">
        <v>905</v>
      </c>
      <c r="AB182" s="8">
        <v>45931</v>
      </c>
    </row>
    <row r="183" spans="1:28" x14ac:dyDescent="0.3">
      <c r="A183" s="15">
        <v>182</v>
      </c>
      <c r="B183" s="13" t="s">
        <v>11</v>
      </c>
      <c r="C183" s="14">
        <v>45933.6875</v>
      </c>
      <c r="D183" s="14">
        <v>45933.708333333336</v>
      </c>
      <c r="E183" s="14">
        <v>45936.625</v>
      </c>
      <c r="F183" s="13" t="s">
        <v>977</v>
      </c>
      <c r="G183" s="13" t="s">
        <v>976</v>
      </c>
      <c r="H183" s="13" t="s">
        <v>974</v>
      </c>
      <c r="I183" s="13" t="s">
        <v>975</v>
      </c>
      <c r="J183" s="13" t="s">
        <v>975</v>
      </c>
      <c r="K183" s="13" t="s">
        <v>974</v>
      </c>
      <c r="L183" s="13" t="s">
        <v>973</v>
      </c>
      <c r="M183" s="13" t="s">
        <v>972</v>
      </c>
      <c r="N183" s="13" t="s">
        <v>971</v>
      </c>
      <c r="O183" s="13">
        <v>-2.7564303703740598</v>
      </c>
      <c r="P183" s="4">
        <f>O183/100</f>
        <v>-2.7564303703740599E-2</v>
      </c>
      <c r="Q183" s="5">
        <f>S182</f>
        <v>628.39909310764733</v>
      </c>
      <c r="R183" s="5">
        <f>Q183*P183*$T$1</f>
        <v>-25.982075174361533</v>
      </c>
      <c r="S183" s="5">
        <f>R183+Q183</f>
        <v>602.41701793328582</v>
      </c>
      <c r="T183" s="5"/>
      <c r="U183" s="4"/>
      <c r="V183" s="13"/>
      <c r="W183" s="13"/>
      <c r="X183" s="13" t="s">
        <v>970</v>
      </c>
      <c r="Y183" s="13" t="s">
        <v>63</v>
      </c>
      <c r="Z183" s="13" t="s">
        <v>969</v>
      </c>
      <c r="AA183" s="13" t="s">
        <v>923</v>
      </c>
      <c r="AB183" s="12">
        <v>45931</v>
      </c>
    </row>
    <row r="184" spans="1:28" x14ac:dyDescent="0.3">
      <c r="A184" s="11">
        <v>183</v>
      </c>
      <c r="B184" s="9" t="s">
        <v>42</v>
      </c>
      <c r="C184" s="10">
        <v>45933.6875</v>
      </c>
      <c r="D184" s="10">
        <v>45933.739583333336</v>
      </c>
      <c r="E184" s="10">
        <v>45934.677083333336</v>
      </c>
      <c r="F184" s="9" t="s">
        <v>968</v>
      </c>
      <c r="G184" s="9" t="s">
        <v>967</v>
      </c>
      <c r="H184" s="9" t="s">
        <v>965</v>
      </c>
      <c r="I184" s="9" t="s">
        <v>966</v>
      </c>
      <c r="J184" s="9" t="s">
        <v>966</v>
      </c>
      <c r="K184" s="9" t="s">
        <v>965</v>
      </c>
      <c r="L184" s="9" t="s">
        <v>964</v>
      </c>
      <c r="M184" s="9" t="s">
        <v>963</v>
      </c>
      <c r="N184" s="9" t="s">
        <v>962</v>
      </c>
      <c r="O184" s="9">
        <v>8</v>
      </c>
      <c r="P184" s="4">
        <f>O184/100</f>
        <v>0.08</v>
      </c>
      <c r="Q184" s="5">
        <f>S183</f>
        <v>602.41701793328582</v>
      </c>
      <c r="R184" s="5">
        <f>Q184*P184*$T$1</f>
        <v>72.2900421519943</v>
      </c>
      <c r="S184" s="5">
        <f>R184+Q184</f>
        <v>674.70706008528009</v>
      </c>
      <c r="T184" s="5"/>
      <c r="U184" s="4"/>
      <c r="V184" s="9"/>
      <c r="W184" s="9"/>
      <c r="X184" s="9" t="s">
        <v>961</v>
      </c>
      <c r="Y184" s="9" t="s">
        <v>2</v>
      </c>
      <c r="Z184" s="9" t="s">
        <v>960</v>
      </c>
      <c r="AA184" s="9" t="s">
        <v>933</v>
      </c>
      <c r="AB184" s="8">
        <v>45931</v>
      </c>
    </row>
    <row r="185" spans="1:28" x14ac:dyDescent="0.3">
      <c r="A185" s="15">
        <v>184</v>
      </c>
      <c r="B185" s="13" t="s">
        <v>22</v>
      </c>
      <c r="C185" s="14">
        <v>45933.6875</v>
      </c>
      <c r="D185" s="14">
        <v>45933.760416666664</v>
      </c>
      <c r="E185" s="14">
        <v>45934.25</v>
      </c>
      <c r="F185" s="13" t="s">
        <v>959</v>
      </c>
      <c r="G185" s="13" t="s">
        <v>958</v>
      </c>
      <c r="H185" s="13" t="s">
        <v>956</v>
      </c>
      <c r="I185" s="13" t="s">
        <v>957</v>
      </c>
      <c r="J185" s="13" t="s">
        <v>957</v>
      </c>
      <c r="K185" s="13" t="s">
        <v>956</v>
      </c>
      <c r="L185" s="13" t="s">
        <v>955</v>
      </c>
      <c r="M185" s="13" t="s">
        <v>954</v>
      </c>
      <c r="N185" s="13" t="s">
        <v>953</v>
      </c>
      <c r="O185" s="13">
        <v>-4.5207020300308702</v>
      </c>
      <c r="P185" s="4">
        <f>O185/100</f>
        <v>-4.5207020300308702E-2</v>
      </c>
      <c r="Q185" s="5">
        <f>S184</f>
        <v>674.70706008528009</v>
      </c>
      <c r="R185" s="5">
        <f>Q185*P185*$T$1</f>
        <v>-45.752243643055294</v>
      </c>
      <c r="S185" s="5">
        <f>R185+Q185</f>
        <v>628.9548164422248</v>
      </c>
      <c r="T185" s="5"/>
      <c r="U185" s="4"/>
      <c r="V185" s="13"/>
      <c r="W185" s="13"/>
      <c r="X185" s="13" t="s">
        <v>952</v>
      </c>
      <c r="Y185" s="13" t="s">
        <v>63</v>
      </c>
      <c r="Z185" s="13" t="s">
        <v>951</v>
      </c>
      <c r="AA185" s="13" t="s">
        <v>942</v>
      </c>
      <c r="AB185" s="12">
        <v>45931</v>
      </c>
    </row>
    <row r="186" spans="1:28" x14ac:dyDescent="0.3">
      <c r="A186" s="11">
        <v>185</v>
      </c>
      <c r="B186" s="9" t="s">
        <v>22</v>
      </c>
      <c r="C186" s="10">
        <v>45934.322916666664</v>
      </c>
      <c r="D186" s="10">
        <v>45934.541666666664</v>
      </c>
      <c r="E186" s="10">
        <v>45938.135416666664</v>
      </c>
      <c r="F186" s="9" t="s">
        <v>950</v>
      </c>
      <c r="G186" s="9" t="s">
        <v>949</v>
      </c>
      <c r="H186" s="9" t="s">
        <v>947</v>
      </c>
      <c r="I186" s="9" t="s">
        <v>948</v>
      </c>
      <c r="J186" s="9" t="s">
        <v>948</v>
      </c>
      <c r="K186" s="9" t="s">
        <v>947</v>
      </c>
      <c r="L186" s="9" t="s">
        <v>946</v>
      </c>
      <c r="M186" s="9" t="s">
        <v>945</v>
      </c>
      <c r="N186" s="9" t="s">
        <v>944</v>
      </c>
      <c r="O186" s="9">
        <v>8</v>
      </c>
      <c r="P186" s="4">
        <f>O186/100</f>
        <v>0.08</v>
      </c>
      <c r="Q186" s="5">
        <f>S185</f>
        <v>628.9548164422248</v>
      </c>
      <c r="R186" s="5">
        <f>Q186*P186*$T$1</f>
        <v>75.474577973066971</v>
      </c>
      <c r="S186" s="5">
        <f>R186+Q186</f>
        <v>704.42939441529177</v>
      </c>
      <c r="T186" s="5"/>
      <c r="U186" s="4"/>
      <c r="V186" s="9"/>
      <c r="W186" s="9"/>
      <c r="X186" s="9" t="s">
        <v>943</v>
      </c>
      <c r="Y186" s="9" t="s">
        <v>2</v>
      </c>
      <c r="Z186" s="9" t="s">
        <v>942</v>
      </c>
      <c r="AA186" s="9" t="s">
        <v>914</v>
      </c>
      <c r="AB186" s="8">
        <v>45931</v>
      </c>
    </row>
    <row r="187" spans="1:28" x14ac:dyDescent="0.3">
      <c r="A187" s="15">
        <v>186</v>
      </c>
      <c r="B187" s="13" t="s">
        <v>42</v>
      </c>
      <c r="C187" s="14">
        <v>45935.395833333336</v>
      </c>
      <c r="D187" s="14">
        <v>45935.40625</v>
      </c>
      <c r="E187" s="14">
        <v>45935.802083333336</v>
      </c>
      <c r="F187" s="13" t="s">
        <v>941</v>
      </c>
      <c r="G187" s="13" t="s">
        <v>940</v>
      </c>
      <c r="H187" s="13" t="s">
        <v>938</v>
      </c>
      <c r="I187" s="13" t="s">
        <v>939</v>
      </c>
      <c r="J187" s="13" t="s">
        <v>939</v>
      </c>
      <c r="K187" s="13" t="s">
        <v>938</v>
      </c>
      <c r="L187" s="13" t="s">
        <v>937</v>
      </c>
      <c r="M187" s="13" t="s">
        <v>936</v>
      </c>
      <c r="N187" s="13" t="s">
        <v>935</v>
      </c>
      <c r="O187" s="13">
        <v>8</v>
      </c>
      <c r="P187" s="4">
        <f>O187/100</f>
        <v>0.08</v>
      </c>
      <c r="Q187" s="5">
        <f>S186</f>
        <v>704.42939441529177</v>
      </c>
      <c r="R187" s="5">
        <f>Q187*P187*$T$1</f>
        <v>84.531527329835015</v>
      </c>
      <c r="S187" s="5">
        <f>R187+Q187</f>
        <v>788.96092174512683</v>
      </c>
      <c r="T187" s="5"/>
      <c r="U187" s="4"/>
      <c r="V187" s="13"/>
      <c r="W187" s="13"/>
      <c r="X187" s="13" t="s">
        <v>934</v>
      </c>
      <c r="Y187" s="13" t="s">
        <v>2</v>
      </c>
      <c r="Z187" s="13" t="s">
        <v>933</v>
      </c>
      <c r="AA187" s="13" t="s">
        <v>932</v>
      </c>
      <c r="AB187" s="12">
        <v>45931</v>
      </c>
    </row>
    <row r="188" spans="1:28" x14ac:dyDescent="0.3">
      <c r="A188" s="11">
        <v>187</v>
      </c>
      <c r="B188" s="9" t="s">
        <v>11</v>
      </c>
      <c r="C188" s="10">
        <v>45935.322916666664</v>
      </c>
      <c r="D188" s="10">
        <v>45935.40625</v>
      </c>
      <c r="E188" s="10">
        <v>45936.604166666664</v>
      </c>
      <c r="F188" s="9" t="s">
        <v>931</v>
      </c>
      <c r="G188" s="9" t="s">
        <v>930</v>
      </c>
      <c r="H188" s="9" t="s">
        <v>928</v>
      </c>
      <c r="I188" s="9" t="s">
        <v>929</v>
      </c>
      <c r="J188" s="9" t="s">
        <v>929</v>
      </c>
      <c r="K188" s="9" t="s">
        <v>928</v>
      </c>
      <c r="L188" s="9" t="s">
        <v>927</v>
      </c>
      <c r="M188" s="9" t="s">
        <v>926</v>
      </c>
      <c r="N188" s="9" t="s">
        <v>925</v>
      </c>
      <c r="O188" s="9">
        <v>-1.3521928070945901</v>
      </c>
      <c r="P188" s="4">
        <f>O188/100</f>
        <v>-1.3521928070945901E-2</v>
      </c>
      <c r="Q188" s="5">
        <f>S187</f>
        <v>788.96092174512683</v>
      </c>
      <c r="R188" s="5">
        <f>Q188*P188*$T$1</f>
        <v>-16.002409251937173</v>
      </c>
      <c r="S188" s="5">
        <f>R188+Q188</f>
        <v>772.95851249318969</v>
      </c>
      <c r="T188" s="5"/>
      <c r="U188" s="4"/>
      <c r="V188" s="9"/>
      <c r="W188" s="9"/>
      <c r="X188" s="9" t="s">
        <v>924</v>
      </c>
      <c r="Y188" s="9" t="s">
        <v>63</v>
      </c>
      <c r="Z188" s="9" t="s">
        <v>923</v>
      </c>
      <c r="AA188" s="9" t="s">
        <v>886</v>
      </c>
      <c r="AB188" s="8">
        <v>45931</v>
      </c>
    </row>
    <row r="189" spans="1:28" x14ac:dyDescent="0.3">
      <c r="A189" s="15">
        <v>188</v>
      </c>
      <c r="B189" s="13" t="s">
        <v>22</v>
      </c>
      <c r="C189" s="14">
        <v>45935.072916666664</v>
      </c>
      <c r="D189" s="14">
        <v>45935.791666666664</v>
      </c>
      <c r="E189" s="14">
        <v>45938.135416666664</v>
      </c>
      <c r="F189" s="13" t="s">
        <v>922</v>
      </c>
      <c r="G189" s="13" t="s">
        <v>921</v>
      </c>
      <c r="H189" s="13" t="s">
        <v>919</v>
      </c>
      <c r="I189" s="13" t="s">
        <v>920</v>
      </c>
      <c r="J189" s="13" t="s">
        <v>920</v>
      </c>
      <c r="K189" s="13" t="s">
        <v>919</v>
      </c>
      <c r="L189" s="13" t="s">
        <v>918</v>
      </c>
      <c r="M189" s="13" t="s">
        <v>917</v>
      </c>
      <c r="N189" s="13" t="s">
        <v>916</v>
      </c>
      <c r="O189" s="13">
        <v>8</v>
      </c>
      <c r="P189" s="4">
        <f>O189/100</f>
        <v>0.08</v>
      </c>
      <c r="Q189" s="5">
        <f>S188</f>
        <v>772.95851249318969</v>
      </c>
      <c r="R189" s="5">
        <f>Q189*P189*$T$1</f>
        <v>92.75502149918276</v>
      </c>
      <c r="S189" s="5">
        <f>R189+Q189</f>
        <v>865.7135339923725</v>
      </c>
      <c r="T189" s="5"/>
      <c r="U189" s="4"/>
      <c r="V189" s="13"/>
      <c r="W189" s="13"/>
      <c r="X189" s="13" t="s">
        <v>915</v>
      </c>
      <c r="Y189" s="13" t="s">
        <v>2</v>
      </c>
      <c r="Z189" s="13" t="s">
        <v>914</v>
      </c>
      <c r="AA189" s="13" t="s">
        <v>896</v>
      </c>
      <c r="AB189" s="12">
        <v>45931</v>
      </c>
    </row>
    <row r="190" spans="1:28" x14ac:dyDescent="0.3">
      <c r="A190" s="11">
        <v>189</v>
      </c>
      <c r="B190" s="9" t="s">
        <v>108</v>
      </c>
      <c r="C190" s="10">
        <v>45936.791666666664</v>
      </c>
      <c r="D190" s="10">
        <v>45936.885416666664</v>
      </c>
      <c r="E190" s="10">
        <v>45940.645833333336</v>
      </c>
      <c r="F190" s="9" t="s">
        <v>913</v>
      </c>
      <c r="G190" s="9" t="s">
        <v>912</v>
      </c>
      <c r="H190" s="9" t="s">
        <v>910</v>
      </c>
      <c r="I190" s="9" t="s">
        <v>911</v>
      </c>
      <c r="J190" s="9" t="s">
        <v>911</v>
      </c>
      <c r="K190" s="9" t="s">
        <v>910</v>
      </c>
      <c r="L190" s="9" t="s">
        <v>909</v>
      </c>
      <c r="M190" s="9" t="s">
        <v>908</v>
      </c>
      <c r="N190" s="9" t="s">
        <v>907</v>
      </c>
      <c r="O190" s="9">
        <v>10</v>
      </c>
      <c r="P190" s="4">
        <f>O190/100</f>
        <v>0.1</v>
      </c>
      <c r="Q190" s="5">
        <f>S189</f>
        <v>865.7135339923725</v>
      </c>
      <c r="R190" s="5">
        <f>Q190*P190*$T$1</f>
        <v>129.85703009885589</v>
      </c>
      <c r="S190" s="5">
        <f>R190+Q190</f>
        <v>995.57056409122833</v>
      </c>
      <c r="T190" s="5"/>
      <c r="U190" s="4"/>
      <c r="V190" s="9"/>
      <c r="W190" s="9"/>
      <c r="X190" s="9" t="s">
        <v>906</v>
      </c>
      <c r="Y190" s="9" t="s">
        <v>2</v>
      </c>
      <c r="Z190" s="9" t="s">
        <v>905</v>
      </c>
      <c r="AA190" s="9" t="s">
        <v>805</v>
      </c>
      <c r="AB190" s="8">
        <v>45931</v>
      </c>
    </row>
    <row r="191" spans="1:28" x14ac:dyDescent="0.3">
      <c r="A191" s="15">
        <v>190</v>
      </c>
      <c r="B191" s="13" t="s">
        <v>22</v>
      </c>
      <c r="C191" s="14">
        <v>45936.645833333336</v>
      </c>
      <c r="D191" s="14">
        <v>45937</v>
      </c>
      <c r="E191" s="14">
        <v>45938.020833333336</v>
      </c>
      <c r="F191" s="13" t="s">
        <v>904</v>
      </c>
      <c r="G191" s="13" t="s">
        <v>903</v>
      </c>
      <c r="H191" s="13" t="s">
        <v>901</v>
      </c>
      <c r="I191" s="13" t="s">
        <v>902</v>
      </c>
      <c r="J191" s="13" t="s">
        <v>902</v>
      </c>
      <c r="K191" s="13" t="s">
        <v>901</v>
      </c>
      <c r="L191" s="13" t="s">
        <v>900</v>
      </c>
      <c r="M191" s="13" t="s">
        <v>899</v>
      </c>
      <c r="N191" s="13" t="s">
        <v>898</v>
      </c>
      <c r="O191" s="13">
        <v>8</v>
      </c>
      <c r="P191" s="4">
        <f>O191/100</f>
        <v>0.08</v>
      </c>
      <c r="Q191" s="5">
        <f>S190</f>
        <v>995.57056409122833</v>
      </c>
      <c r="R191" s="5">
        <f>Q191*P191*$T$1</f>
        <v>119.46846769094739</v>
      </c>
      <c r="S191" s="5">
        <f>R191+Q191</f>
        <v>1115.0390317821757</v>
      </c>
      <c r="T191" s="5"/>
      <c r="U191" s="4"/>
      <c r="V191" s="13"/>
      <c r="W191" s="13"/>
      <c r="X191" s="13" t="s">
        <v>897</v>
      </c>
      <c r="Y191" s="13" t="s">
        <v>2</v>
      </c>
      <c r="Z191" s="13" t="s">
        <v>896</v>
      </c>
      <c r="AA191" s="13" t="s">
        <v>895</v>
      </c>
      <c r="AB191" s="12">
        <v>45931</v>
      </c>
    </row>
    <row r="192" spans="1:28" x14ac:dyDescent="0.3">
      <c r="A192" s="11">
        <v>191</v>
      </c>
      <c r="B192" s="9" t="s">
        <v>11</v>
      </c>
      <c r="C192" s="10">
        <v>45936.65625</v>
      </c>
      <c r="D192" s="10">
        <v>45937.270833333336</v>
      </c>
      <c r="E192" s="10">
        <v>45937.979166666664</v>
      </c>
      <c r="F192" s="9" t="s">
        <v>894</v>
      </c>
      <c r="G192" s="9" t="s">
        <v>893</v>
      </c>
      <c r="H192" s="9" t="s">
        <v>891</v>
      </c>
      <c r="I192" s="9" t="s">
        <v>892</v>
      </c>
      <c r="J192" s="9" t="s">
        <v>892</v>
      </c>
      <c r="K192" s="9" t="s">
        <v>891</v>
      </c>
      <c r="L192" s="9" t="s">
        <v>890</v>
      </c>
      <c r="M192" s="9" t="s">
        <v>889</v>
      </c>
      <c r="N192" s="9" t="s">
        <v>888</v>
      </c>
      <c r="O192" s="9">
        <v>6</v>
      </c>
      <c r="P192" s="4">
        <f>O192/100</f>
        <v>0.06</v>
      </c>
      <c r="Q192" s="5">
        <f>S191</f>
        <v>1115.0390317821757</v>
      </c>
      <c r="R192" s="5">
        <f>Q192*P192*$T$1</f>
        <v>100.35351286039582</v>
      </c>
      <c r="S192" s="5">
        <f>R192+Q192</f>
        <v>1215.3925446425715</v>
      </c>
      <c r="T192" s="5"/>
      <c r="U192" s="4"/>
      <c r="V192" s="9"/>
      <c r="W192" s="9"/>
      <c r="X192" s="9" t="s">
        <v>887</v>
      </c>
      <c r="Y192" s="9" t="s">
        <v>2</v>
      </c>
      <c r="Z192" s="9" t="s">
        <v>886</v>
      </c>
      <c r="AA192" s="9" t="s">
        <v>868</v>
      </c>
      <c r="AB192" s="8">
        <v>45931</v>
      </c>
    </row>
    <row r="193" spans="1:28" x14ac:dyDescent="0.3">
      <c r="A193" s="15">
        <v>192</v>
      </c>
      <c r="B193" s="13" t="s">
        <v>42</v>
      </c>
      <c r="C193" s="14">
        <v>45936.875</v>
      </c>
      <c r="D193" s="14">
        <v>45937.375</v>
      </c>
      <c r="E193" s="14">
        <v>45937.625</v>
      </c>
      <c r="F193" s="13" t="s">
        <v>885</v>
      </c>
      <c r="G193" s="13" t="s">
        <v>884</v>
      </c>
      <c r="H193" s="13" t="s">
        <v>882</v>
      </c>
      <c r="I193" s="13" t="s">
        <v>883</v>
      </c>
      <c r="J193" s="13" t="s">
        <v>883</v>
      </c>
      <c r="K193" s="13" t="s">
        <v>882</v>
      </c>
      <c r="L193" s="13" t="s">
        <v>881</v>
      </c>
      <c r="M193" s="13" t="s">
        <v>880</v>
      </c>
      <c r="N193" s="13" t="s">
        <v>879</v>
      </c>
      <c r="O193" s="13">
        <v>8</v>
      </c>
      <c r="P193" s="4">
        <f>O193/100</f>
        <v>0.08</v>
      </c>
      <c r="Q193" s="5">
        <f>S192</f>
        <v>1215.3925446425715</v>
      </c>
      <c r="R193" s="5">
        <f>Q193*P193*$T$1</f>
        <v>145.84710535710857</v>
      </c>
      <c r="S193" s="5">
        <f>R193+Q193</f>
        <v>1361.2396499996801</v>
      </c>
      <c r="T193" s="5"/>
      <c r="U193" s="4"/>
      <c r="V193" s="13"/>
      <c r="W193" s="13"/>
      <c r="X193" s="13" t="s">
        <v>878</v>
      </c>
      <c r="Y193" s="13" t="s">
        <v>2</v>
      </c>
      <c r="Z193" s="13" t="s">
        <v>877</v>
      </c>
      <c r="AA193" s="13" t="s">
        <v>850</v>
      </c>
      <c r="AB193" s="12">
        <v>45931</v>
      </c>
    </row>
    <row r="194" spans="1:28" x14ac:dyDescent="0.3">
      <c r="A194" s="11">
        <v>193</v>
      </c>
      <c r="B194" s="9" t="s">
        <v>11</v>
      </c>
      <c r="C194" s="10">
        <v>45938.739583333336</v>
      </c>
      <c r="D194" s="10">
        <v>45939</v>
      </c>
      <c r="E194" s="10">
        <v>45940.645833333336</v>
      </c>
      <c r="F194" s="9" t="s">
        <v>876</v>
      </c>
      <c r="G194" s="9" t="s">
        <v>875</v>
      </c>
      <c r="H194" s="9" t="s">
        <v>873</v>
      </c>
      <c r="I194" s="9" t="s">
        <v>874</v>
      </c>
      <c r="J194" s="9" t="s">
        <v>874</v>
      </c>
      <c r="K194" s="9" t="s">
        <v>873</v>
      </c>
      <c r="L194" s="9" t="s">
        <v>872</v>
      </c>
      <c r="M194" s="9" t="s">
        <v>871</v>
      </c>
      <c r="N194" s="9" t="s">
        <v>870</v>
      </c>
      <c r="O194" s="9">
        <v>6</v>
      </c>
      <c r="P194" s="4">
        <f>O194/100</f>
        <v>0.06</v>
      </c>
      <c r="Q194" s="5">
        <f>S193</f>
        <v>1361.2396499996801</v>
      </c>
      <c r="R194" s="5">
        <f>Q194*P194*$T$1</f>
        <v>122.5115684999712</v>
      </c>
      <c r="S194" s="5">
        <f>R194+Q194</f>
        <v>1483.7512184996513</v>
      </c>
      <c r="T194" s="5"/>
      <c r="U194" s="4"/>
      <c r="V194" s="9"/>
      <c r="W194" s="9"/>
      <c r="X194" s="9" t="s">
        <v>869</v>
      </c>
      <c r="Y194" s="9" t="s">
        <v>2</v>
      </c>
      <c r="Z194" s="9" t="s">
        <v>868</v>
      </c>
      <c r="AA194" s="9" t="s">
        <v>832</v>
      </c>
      <c r="AB194" s="8">
        <v>45931</v>
      </c>
    </row>
    <row r="195" spans="1:28" x14ac:dyDescent="0.3">
      <c r="A195" s="15">
        <v>194</v>
      </c>
      <c r="B195" s="13" t="s">
        <v>22</v>
      </c>
      <c r="C195" s="14">
        <v>45938.583333333336</v>
      </c>
      <c r="D195" s="14">
        <v>45939.104166666664</v>
      </c>
      <c r="E195" s="14">
        <v>45940.645833333336</v>
      </c>
      <c r="F195" s="13" t="s">
        <v>867</v>
      </c>
      <c r="G195" s="13" t="s">
        <v>866</v>
      </c>
      <c r="H195" s="13" t="s">
        <v>864</v>
      </c>
      <c r="I195" s="13" t="s">
        <v>865</v>
      </c>
      <c r="J195" s="13" t="s">
        <v>865</v>
      </c>
      <c r="K195" s="13" t="s">
        <v>864</v>
      </c>
      <c r="L195" s="13" t="s">
        <v>863</v>
      </c>
      <c r="M195" s="13" t="s">
        <v>862</v>
      </c>
      <c r="N195" s="13" t="s">
        <v>861</v>
      </c>
      <c r="O195" s="13">
        <v>8</v>
      </c>
      <c r="P195" s="4">
        <f>O195/100</f>
        <v>0.08</v>
      </c>
      <c r="Q195" s="5">
        <f>S194</f>
        <v>1483.7512184996513</v>
      </c>
      <c r="R195" s="5">
        <f>Q195*P195*$T$1</f>
        <v>178.05014621995815</v>
      </c>
      <c r="S195" s="5">
        <f>R195+Q195</f>
        <v>1661.8013647196094</v>
      </c>
      <c r="T195" s="5"/>
      <c r="U195" s="4"/>
      <c r="V195" s="13"/>
      <c r="W195" s="13"/>
      <c r="X195" s="13" t="s">
        <v>860</v>
      </c>
      <c r="Y195" s="13" t="s">
        <v>2</v>
      </c>
      <c r="Z195" s="13" t="s">
        <v>859</v>
      </c>
      <c r="AA195" s="13" t="s">
        <v>823</v>
      </c>
      <c r="AB195" s="12">
        <v>45931</v>
      </c>
    </row>
    <row r="196" spans="1:28" x14ac:dyDescent="0.3">
      <c r="A196" s="11">
        <v>195</v>
      </c>
      <c r="B196" s="9" t="s">
        <v>42</v>
      </c>
      <c r="C196" s="10">
        <v>45938.75</v>
      </c>
      <c r="D196" s="10">
        <v>45939.322916666664</v>
      </c>
      <c r="E196" s="10">
        <v>45940.666666666664</v>
      </c>
      <c r="F196" s="9" t="s">
        <v>858</v>
      </c>
      <c r="G196" s="9" t="s">
        <v>857</v>
      </c>
      <c r="H196" s="9" t="s">
        <v>855</v>
      </c>
      <c r="I196" s="9" t="s">
        <v>856</v>
      </c>
      <c r="J196" s="9" t="s">
        <v>856</v>
      </c>
      <c r="K196" s="9" t="s">
        <v>855</v>
      </c>
      <c r="L196" s="9" t="s">
        <v>854</v>
      </c>
      <c r="M196" s="9" t="s">
        <v>853</v>
      </c>
      <c r="N196" s="9" t="s">
        <v>852</v>
      </c>
      <c r="O196" s="9">
        <v>8</v>
      </c>
      <c r="P196" s="4">
        <f>O196/100</f>
        <v>0.08</v>
      </c>
      <c r="Q196" s="5">
        <f>S195</f>
        <v>1661.8013647196094</v>
      </c>
      <c r="R196" s="5">
        <f>Q196*P196*$T$1</f>
        <v>199.41616376635312</v>
      </c>
      <c r="S196" s="5">
        <f>R196+Q196</f>
        <v>1861.2175284859625</v>
      </c>
      <c r="T196" s="5"/>
      <c r="U196" s="4"/>
      <c r="V196" s="9"/>
      <c r="W196" s="9"/>
      <c r="X196" s="9" t="s">
        <v>851</v>
      </c>
      <c r="Y196" s="9" t="s">
        <v>2</v>
      </c>
      <c r="Z196" s="9" t="s">
        <v>850</v>
      </c>
      <c r="AA196" s="9" t="s">
        <v>841</v>
      </c>
      <c r="AB196" s="8">
        <v>45931</v>
      </c>
    </row>
    <row r="197" spans="1:28" x14ac:dyDescent="0.3">
      <c r="A197" s="15">
        <v>196</v>
      </c>
      <c r="B197" s="13" t="s">
        <v>42</v>
      </c>
      <c r="C197" s="14">
        <v>45940.583333333336</v>
      </c>
      <c r="D197" s="14">
        <v>45940.614583333336</v>
      </c>
      <c r="E197" s="14">
        <v>45940.666666666664</v>
      </c>
      <c r="F197" s="13" t="s">
        <v>849</v>
      </c>
      <c r="G197" s="13" t="s">
        <v>848</v>
      </c>
      <c r="H197" s="13" t="s">
        <v>846</v>
      </c>
      <c r="I197" s="13" t="s">
        <v>847</v>
      </c>
      <c r="J197" s="13" t="s">
        <v>847</v>
      </c>
      <c r="K197" s="13" t="s">
        <v>846</v>
      </c>
      <c r="L197" s="13" t="s">
        <v>845</v>
      </c>
      <c r="M197" s="13" t="s">
        <v>844</v>
      </c>
      <c r="N197" s="13" t="s">
        <v>843</v>
      </c>
      <c r="O197" s="13">
        <v>8</v>
      </c>
      <c r="P197" s="4">
        <f>O197/100</f>
        <v>0.08</v>
      </c>
      <c r="Q197" s="5">
        <f>S196</f>
        <v>1861.2175284859625</v>
      </c>
      <c r="R197" s="5">
        <f>Q197*P197*$T$1</f>
        <v>223.34610341831549</v>
      </c>
      <c r="S197" s="5">
        <f>R197+Q197</f>
        <v>2084.5636319042778</v>
      </c>
      <c r="T197" s="5"/>
      <c r="U197" s="4"/>
      <c r="V197" s="13"/>
      <c r="W197" s="13"/>
      <c r="X197" s="13" t="s">
        <v>842</v>
      </c>
      <c r="Y197" s="13" t="s">
        <v>2</v>
      </c>
      <c r="Z197" s="13" t="s">
        <v>841</v>
      </c>
      <c r="AA197" s="13" t="s">
        <v>814</v>
      </c>
      <c r="AB197" s="12">
        <v>45931</v>
      </c>
    </row>
    <row r="198" spans="1:28" x14ac:dyDescent="0.3">
      <c r="A198" s="11">
        <v>197</v>
      </c>
      <c r="B198" s="9" t="s">
        <v>11</v>
      </c>
      <c r="C198" s="10">
        <v>45942.854166666664</v>
      </c>
      <c r="D198" s="10">
        <v>45942.885416666664</v>
      </c>
      <c r="E198" s="10">
        <v>45943.739583333336</v>
      </c>
      <c r="F198" s="9" t="s">
        <v>840</v>
      </c>
      <c r="G198" s="9" t="s">
        <v>839</v>
      </c>
      <c r="H198" s="9" t="s">
        <v>837</v>
      </c>
      <c r="I198" s="9" t="s">
        <v>838</v>
      </c>
      <c r="J198" s="9" t="s">
        <v>838</v>
      </c>
      <c r="K198" s="9" t="s">
        <v>837</v>
      </c>
      <c r="L198" s="9" t="s">
        <v>836</v>
      </c>
      <c r="M198" s="9" t="s">
        <v>835</v>
      </c>
      <c r="N198" s="9" t="s">
        <v>834</v>
      </c>
      <c r="O198" s="9">
        <v>-2.14657022082242</v>
      </c>
      <c r="P198" s="4">
        <f>O198/100</f>
        <v>-2.1465702208224201E-2</v>
      </c>
      <c r="Q198" s="5">
        <f>S197</f>
        <v>2084.5636319042778</v>
      </c>
      <c r="R198" s="5">
        <f>Q198*P198*$T$1</f>
        <v>-67.119933234827272</v>
      </c>
      <c r="S198" s="5">
        <f>R198+Q198</f>
        <v>2017.4436986694504</v>
      </c>
      <c r="T198" s="5"/>
      <c r="U198" s="4"/>
      <c r="V198" s="9"/>
      <c r="W198" s="9"/>
      <c r="X198" s="9" t="s">
        <v>833</v>
      </c>
      <c r="Y198" s="9" t="s">
        <v>63</v>
      </c>
      <c r="Z198" s="9" t="s">
        <v>832</v>
      </c>
      <c r="AA198" s="9" t="s">
        <v>762</v>
      </c>
      <c r="AB198" s="8">
        <v>45931</v>
      </c>
    </row>
    <row r="199" spans="1:28" x14ac:dyDescent="0.3">
      <c r="A199" s="15">
        <v>198</v>
      </c>
      <c r="B199" s="13" t="s">
        <v>22</v>
      </c>
      <c r="C199" s="14">
        <v>45942.84375</v>
      </c>
      <c r="D199" s="14">
        <v>45942.885416666664</v>
      </c>
      <c r="E199" s="14">
        <v>45943.46875</v>
      </c>
      <c r="F199" s="13" t="s">
        <v>831</v>
      </c>
      <c r="G199" s="13" t="s">
        <v>830</v>
      </c>
      <c r="H199" s="13" t="s">
        <v>828</v>
      </c>
      <c r="I199" s="13" t="s">
        <v>829</v>
      </c>
      <c r="J199" s="13" t="s">
        <v>829</v>
      </c>
      <c r="K199" s="13" t="s">
        <v>828</v>
      </c>
      <c r="L199" s="13" t="s">
        <v>827</v>
      </c>
      <c r="M199" s="13" t="s">
        <v>826</v>
      </c>
      <c r="N199" s="13" t="s">
        <v>825</v>
      </c>
      <c r="O199" s="13">
        <v>8</v>
      </c>
      <c r="P199" s="4">
        <f>O199/100</f>
        <v>0.08</v>
      </c>
      <c r="Q199" s="5">
        <f>S198</f>
        <v>2017.4436986694504</v>
      </c>
      <c r="R199" s="5">
        <f>Q199*P199*$T$1</f>
        <v>242.09324384033408</v>
      </c>
      <c r="S199" s="5">
        <f>R199+Q199</f>
        <v>2259.5369425097847</v>
      </c>
      <c r="T199" s="5"/>
      <c r="U199" s="4"/>
      <c r="V199" s="13"/>
      <c r="W199" s="13"/>
      <c r="X199" s="13" t="s">
        <v>824</v>
      </c>
      <c r="Y199" s="13" t="s">
        <v>2</v>
      </c>
      <c r="Z199" s="13" t="s">
        <v>823</v>
      </c>
      <c r="AA199" s="13" t="s">
        <v>771</v>
      </c>
      <c r="AB199" s="12">
        <v>45931</v>
      </c>
    </row>
    <row r="200" spans="1:28" x14ac:dyDescent="0.3">
      <c r="A200" s="11">
        <v>199</v>
      </c>
      <c r="B200" s="9" t="s">
        <v>42</v>
      </c>
      <c r="C200" s="10">
        <v>45942.875</v>
      </c>
      <c r="D200" s="10">
        <v>45942.885416666664</v>
      </c>
      <c r="E200" s="10">
        <v>45943.166666666664</v>
      </c>
      <c r="F200" s="9" t="s">
        <v>822</v>
      </c>
      <c r="G200" s="9" t="s">
        <v>821</v>
      </c>
      <c r="H200" s="9" t="s">
        <v>819</v>
      </c>
      <c r="I200" s="9" t="s">
        <v>820</v>
      </c>
      <c r="J200" s="9" t="s">
        <v>820</v>
      </c>
      <c r="K200" s="9" t="s">
        <v>819</v>
      </c>
      <c r="L200" s="9" t="s">
        <v>818</v>
      </c>
      <c r="M200" s="9" t="s">
        <v>817</v>
      </c>
      <c r="N200" s="9" t="s">
        <v>816</v>
      </c>
      <c r="O200" s="9">
        <v>8</v>
      </c>
      <c r="P200" s="4">
        <f>O200/100</f>
        <v>0.08</v>
      </c>
      <c r="Q200" s="5">
        <f>S199</f>
        <v>2259.5369425097847</v>
      </c>
      <c r="R200" s="5">
        <f>Q200*P200*$T$1</f>
        <v>271.14443310117417</v>
      </c>
      <c r="S200" s="5">
        <f>R200+Q200</f>
        <v>2530.6813756109586</v>
      </c>
      <c r="T200" s="5"/>
      <c r="U200" s="4"/>
      <c r="V200" s="9"/>
      <c r="W200" s="9"/>
      <c r="X200" s="9" t="s">
        <v>815</v>
      </c>
      <c r="Y200" s="9" t="s">
        <v>2</v>
      </c>
      <c r="Z200" s="9" t="s">
        <v>814</v>
      </c>
      <c r="AA200" s="9" t="s">
        <v>813</v>
      </c>
      <c r="AB200" s="8">
        <v>45931</v>
      </c>
    </row>
    <row r="201" spans="1:28" x14ac:dyDescent="0.3">
      <c r="A201" s="15">
        <v>200</v>
      </c>
      <c r="B201" s="13" t="s">
        <v>108</v>
      </c>
      <c r="C201" s="14">
        <v>45942.885416666664</v>
      </c>
      <c r="D201" s="14">
        <v>45942.895833333336</v>
      </c>
      <c r="E201" s="14">
        <v>45942.916666666664</v>
      </c>
      <c r="F201" s="13" t="s">
        <v>812</v>
      </c>
      <c r="G201" s="13" t="s">
        <v>198</v>
      </c>
      <c r="H201" s="13" t="s">
        <v>810</v>
      </c>
      <c r="I201" s="13" t="s">
        <v>811</v>
      </c>
      <c r="J201" s="13" t="s">
        <v>811</v>
      </c>
      <c r="K201" s="13" t="s">
        <v>810</v>
      </c>
      <c r="L201" s="13" t="s">
        <v>809</v>
      </c>
      <c r="M201" s="13" t="s">
        <v>808</v>
      </c>
      <c r="N201" s="13" t="s">
        <v>807</v>
      </c>
      <c r="O201" s="13">
        <v>-0.667571848834557</v>
      </c>
      <c r="P201" s="4">
        <f>O201/100</f>
        <v>-6.6757184883455703E-3</v>
      </c>
      <c r="Q201" s="5">
        <f>S200</f>
        <v>2530.6813756109586</v>
      </c>
      <c r="R201" s="5">
        <f>Q201*P201*$T$1</f>
        <v>-25.341174670916814</v>
      </c>
      <c r="S201" s="5">
        <f>R201+Q201</f>
        <v>2505.340200940042</v>
      </c>
      <c r="T201" s="5"/>
      <c r="U201" s="4"/>
      <c r="V201" s="13"/>
      <c r="W201" s="13"/>
      <c r="X201" s="13" t="s">
        <v>806</v>
      </c>
      <c r="Y201" s="13" t="s">
        <v>63</v>
      </c>
      <c r="Z201" s="13" t="s">
        <v>805</v>
      </c>
      <c r="AA201" s="13" t="s">
        <v>797</v>
      </c>
      <c r="AB201" s="12">
        <v>45931</v>
      </c>
    </row>
    <row r="202" spans="1:28" x14ac:dyDescent="0.3">
      <c r="A202" s="11">
        <v>201</v>
      </c>
      <c r="B202" s="9" t="s">
        <v>108</v>
      </c>
      <c r="C202" s="10">
        <v>45943.072916666664</v>
      </c>
      <c r="D202" s="10">
        <v>45943.104166666664</v>
      </c>
      <c r="E202" s="10">
        <v>45945.822916666664</v>
      </c>
      <c r="F202" s="9" t="s">
        <v>804</v>
      </c>
      <c r="G202" s="9" t="s">
        <v>803</v>
      </c>
      <c r="H202" s="9" t="s">
        <v>9</v>
      </c>
      <c r="I202" s="9" t="s">
        <v>802</v>
      </c>
      <c r="J202" s="9" t="s">
        <v>802</v>
      </c>
      <c r="K202" s="9" t="s">
        <v>9</v>
      </c>
      <c r="L202" s="9" t="s">
        <v>801</v>
      </c>
      <c r="M202" s="9" t="s">
        <v>800</v>
      </c>
      <c r="N202" s="9" t="s">
        <v>799</v>
      </c>
      <c r="O202" s="9">
        <v>10</v>
      </c>
      <c r="P202" s="4">
        <f>O202/100</f>
        <v>0.1</v>
      </c>
      <c r="Q202" s="5">
        <f>S201</f>
        <v>2505.340200940042</v>
      </c>
      <c r="R202" s="5">
        <f>Q202*P202*$T$1</f>
        <v>375.80103014100632</v>
      </c>
      <c r="S202" s="5">
        <f>R202+Q202</f>
        <v>2881.1412310810483</v>
      </c>
      <c r="T202" s="5"/>
      <c r="U202" s="4"/>
      <c r="V202" s="9"/>
      <c r="W202" s="9"/>
      <c r="X202" s="9" t="s">
        <v>798</v>
      </c>
      <c r="Y202" s="9" t="s">
        <v>2</v>
      </c>
      <c r="Z202" s="9" t="s">
        <v>797</v>
      </c>
      <c r="AA202" s="9" t="s">
        <v>779</v>
      </c>
      <c r="AB202" s="8">
        <v>45931</v>
      </c>
    </row>
    <row r="203" spans="1:28" x14ac:dyDescent="0.3">
      <c r="A203" s="15">
        <v>202</v>
      </c>
      <c r="B203" s="13" t="s">
        <v>42</v>
      </c>
      <c r="C203" s="14">
        <v>45944.75</v>
      </c>
      <c r="D203" s="14">
        <v>45944.8125</v>
      </c>
      <c r="E203" s="14">
        <v>45945.854166666664</v>
      </c>
      <c r="F203" s="13" t="s">
        <v>796</v>
      </c>
      <c r="G203" s="13" t="s">
        <v>795</v>
      </c>
      <c r="H203" s="13" t="s">
        <v>793</v>
      </c>
      <c r="I203" s="13" t="s">
        <v>794</v>
      </c>
      <c r="J203" s="13" t="s">
        <v>794</v>
      </c>
      <c r="K203" s="13" t="s">
        <v>793</v>
      </c>
      <c r="L203" s="13" t="s">
        <v>792</v>
      </c>
      <c r="M203" s="13" t="s">
        <v>791</v>
      </c>
      <c r="N203" s="13" t="s">
        <v>790</v>
      </c>
      <c r="O203" s="13">
        <v>8</v>
      </c>
      <c r="P203" s="4">
        <f>O203/100</f>
        <v>0.08</v>
      </c>
      <c r="Q203" s="5">
        <f>S202</f>
        <v>2881.1412310810483</v>
      </c>
      <c r="R203" s="5">
        <f>Q203*P203*$T$1</f>
        <v>345.73694772972578</v>
      </c>
      <c r="S203" s="5">
        <f>R203+Q203</f>
        <v>3226.878178810774</v>
      </c>
      <c r="T203" s="5"/>
      <c r="U203" s="4"/>
      <c r="V203" s="13"/>
      <c r="W203" s="13"/>
      <c r="X203" s="13" t="s">
        <v>789</v>
      </c>
      <c r="Y203" s="13" t="s">
        <v>2</v>
      </c>
      <c r="Z203" s="13" t="s">
        <v>788</v>
      </c>
      <c r="AA203" s="13" t="s">
        <v>733</v>
      </c>
      <c r="AB203" s="12">
        <v>45931</v>
      </c>
    </row>
    <row r="204" spans="1:28" x14ac:dyDescent="0.3">
      <c r="A204" s="11">
        <v>203</v>
      </c>
      <c r="B204" s="9" t="s">
        <v>108</v>
      </c>
      <c r="C204" s="10">
        <v>45944.677083333336</v>
      </c>
      <c r="D204" s="10">
        <v>45945.34375</v>
      </c>
      <c r="E204" s="10">
        <v>45947</v>
      </c>
      <c r="F204" s="9" t="s">
        <v>787</v>
      </c>
      <c r="G204" s="9" t="s">
        <v>786</v>
      </c>
      <c r="H204" s="9" t="s">
        <v>784</v>
      </c>
      <c r="I204" s="9" t="s">
        <v>785</v>
      </c>
      <c r="J204" s="9" t="s">
        <v>785</v>
      </c>
      <c r="K204" s="9" t="s">
        <v>784</v>
      </c>
      <c r="L204" s="9" t="s">
        <v>783</v>
      </c>
      <c r="M204" s="9" t="s">
        <v>782</v>
      </c>
      <c r="N204" s="9" t="s">
        <v>781</v>
      </c>
      <c r="O204" s="9">
        <v>10</v>
      </c>
      <c r="P204" s="4">
        <f>O204/100</f>
        <v>0.1</v>
      </c>
      <c r="Q204" s="5">
        <f>S203</f>
        <v>3226.878178810774</v>
      </c>
      <c r="R204" s="5">
        <f>Q204*P204*$T$1</f>
        <v>484.03172682161613</v>
      </c>
      <c r="S204" s="5">
        <f>R204+Q204</f>
        <v>3710.9099056323903</v>
      </c>
      <c r="T204" s="5"/>
      <c r="U204" s="4"/>
      <c r="V204" s="9"/>
      <c r="W204" s="9"/>
      <c r="X204" s="9" t="s">
        <v>780</v>
      </c>
      <c r="Y204" s="9" t="s">
        <v>2</v>
      </c>
      <c r="Z204" s="9" t="s">
        <v>779</v>
      </c>
      <c r="AA204" s="9" t="s">
        <v>697</v>
      </c>
      <c r="AB204" s="8">
        <v>45931</v>
      </c>
    </row>
    <row r="205" spans="1:28" x14ac:dyDescent="0.3">
      <c r="A205" s="15">
        <v>204</v>
      </c>
      <c r="B205" s="13" t="s">
        <v>22</v>
      </c>
      <c r="C205" s="14">
        <v>45944.677083333336</v>
      </c>
      <c r="D205" s="14">
        <v>45945.572916666664</v>
      </c>
      <c r="E205" s="14">
        <v>45946.8125</v>
      </c>
      <c r="F205" s="13" t="s">
        <v>778</v>
      </c>
      <c r="G205" s="13" t="s">
        <v>748</v>
      </c>
      <c r="H205" s="13" t="s">
        <v>776</v>
      </c>
      <c r="I205" s="13" t="s">
        <v>777</v>
      </c>
      <c r="J205" s="13" t="s">
        <v>777</v>
      </c>
      <c r="K205" s="13" t="s">
        <v>776</v>
      </c>
      <c r="L205" s="13" t="s">
        <v>775</v>
      </c>
      <c r="M205" s="13" t="s">
        <v>774</v>
      </c>
      <c r="N205" s="13" t="s">
        <v>773</v>
      </c>
      <c r="O205" s="13">
        <v>8</v>
      </c>
      <c r="P205" s="4">
        <f>O205/100</f>
        <v>0.08</v>
      </c>
      <c r="Q205" s="5">
        <f>S204</f>
        <v>3710.9099056323903</v>
      </c>
      <c r="R205" s="5">
        <f>Q205*P205*$T$1</f>
        <v>445.30918867588684</v>
      </c>
      <c r="S205" s="5">
        <f>R205+Q205</f>
        <v>4156.2190943082769</v>
      </c>
      <c r="T205" s="5"/>
      <c r="U205" s="4"/>
      <c r="V205" s="13"/>
      <c r="W205" s="13"/>
      <c r="X205" s="13" t="s">
        <v>772</v>
      </c>
      <c r="Y205" s="13" t="s">
        <v>2</v>
      </c>
      <c r="Z205" s="13" t="s">
        <v>771</v>
      </c>
      <c r="AA205" s="13" t="s">
        <v>743</v>
      </c>
      <c r="AB205" s="12">
        <v>45931</v>
      </c>
    </row>
    <row r="206" spans="1:28" x14ac:dyDescent="0.3">
      <c r="A206" s="11">
        <v>205</v>
      </c>
      <c r="B206" s="9" t="s">
        <v>11</v>
      </c>
      <c r="C206" s="10">
        <v>45949.614583333336</v>
      </c>
      <c r="D206" s="10">
        <v>45950</v>
      </c>
      <c r="E206" s="10">
        <v>45950.15625</v>
      </c>
      <c r="F206" s="9" t="s">
        <v>770</v>
      </c>
      <c r="G206" s="9" t="s">
        <v>769</v>
      </c>
      <c r="H206" s="9" t="s">
        <v>767</v>
      </c>
      <c r="I206" s="9" t="s">
        <v>768</v>
      </c>
      <c r="J206" s="9" t="s">
        <v>768</v>
      </c>
      <c r="K206" s="9" t="s">
        <v>767</v>
      </c>
      <c r="L206" s="9" t="s">
        <v>766</v>
      </c>
      <c r="M206" s="9" t="s">
        <v>765</v>
      </c>
      <c r="N206" s="9" t="s">
        <v>764</v>
      </c>
      <c r="O206" s="9">
        <v>-1.8813867850594601</v>
      </c>
      <c r="P206" s="4">
        <f>O206/100</f>
        <v>-1.88138678505946E-2</v>
      </c>
      <c r="Q206" s="5">
        <f>S205</f>
        <v>4156.2190943082769</v>
      </c>
      <c r="R206" s="5">
        <f>Q206*P206*$T$1</f>
        <v>-117.29183519765084</v>
      </c>
      <c r="S206" s="5">
        <f>R206+Q206</f>
        <v>4038.927259110626</v>
      </c>
      <c r="T206" s="5"/>
      <c r="U206" s="4"/>
      <c r="V206" s="9"/>
      <c r="W206" s="9"/>
      <c r="X206" s="9" t="s">
        <v>763</v>
      </c>
      <c r="Y206" s="9" t="s">
        <v>63</v>
      </c>
      <c r="Z206" s="9" t="s">
        <v>762</v>
      </c>
      <c r="AA206" s="9" t="s">
        <v>753</v>
      </c>
      <c r="AB206" s="8">
        <v>45931</v>
      </c>
    </row>
    <row r="207" spans="1:28" x14ac:dyDescent="0.3">
      <c r="A207" s="15">
        <v>206</v>
      </c>
      <c r="B207" s="13" t="s">
        <v>11</v>
      </c>
      <c r="C207" s="14">
        <v>45950.270833333336</v>
      </c>
      <c r="D207" s="14">
        <v>45950.34375</v>
      </c>
      <c r="E207" s="14">
        <v>45951.614583333336</v>
      </c>
      <c r="F207" s="13" t="s">
        <v>761</v>
      </c>
      <c r="G207" s="13" t="s">
        <v>760</v>
      </c>
      <c r="H207" s="13" t="s">
        <v>758</v>
      </c>
      <c r="I207" s="13" t="s">
        <v>759</v>
      </c>
      <c r="J207" s="13" t="s">
        <v>759</v>
      </c>
      <c r="K207" s="13" t="s">
        <v>758</v>
      </c>
      <c r="L207" s="13" t="s">
        <v>757</v>
      </c>
      <c r="M207" s="13" t="s">
        <v>756</v>
      </c>
      <c r="N207" s="13" t="s">
        <v>755</v>
      </c>
      <c r="O207" s="13">
        <v>-0.92886182191982103</v>
      </c>
      <c r="P207" s="4">
        <f>O207/100</f>
        <v>-9.2886182191982102E-3</v>
      </c>
      <c r="Q207" s="5">
        <f>S206</f>
        <v>4038.927259110626</v>
      </c>
      <c r="R207" s="5">
        <f>Q207*P207*$T$1</f>
        <v>-56.274079987486871</v>
      </c>
      <c r="S207" s="5">
        <f>R207+Q207</f>
        <v>3982.6531791231391</v>
      </c>
      <c r="T207" s="5"/>
      <c r="U207" s="4"/>
      <c r="V207" s="13"/>
      <c r="W207" s="13"/>
      <c r="X207" s="13" t="s">
        <v>754</v>
      </c>
      <c r="Y207" s="13" t="s">
        <v>63</v>
      </c>
      <c r="Z207" s="13" t="s">
        <v>753</v>
      </c>
      <c r="AA207" s="13" t="s">
        <v>752</v>
      </c>
      <c r="AB207" s="12">
        <v>45931</v>
      </c>
    </row>
    <row r="208" spans="1:28" x14ac:dyDescent="0.3">
      <c r="A208" s="11">
        <v>207</v>
      </c>
      <c r="B208" s="9" t="s">
        <v>22</v>
      </c>
      <c r="C208" s="10">
        <v>45950.270833333336</v>
      </c>
      <c r="D208" s="10">
        <v>45950.666666666664</v>
      </c>
      <c r="E208" s="10">
        <v>45951.625</v>
      </c>
      <c r="F208" s="9" t="s">
        <v>751</v>
      </c>
      <c r="G208" s="9" t="s">
        <v>750</v>
      </c>
      <c r="H208" s="9" t="s">
        <v>748</v>
      </c>
      <c r="I208" s="9" t="s">
        <v>749</v>
      </c>
      <c r="J208" s="9" t="s">
        <v>749</v>
      </c>
      <c r="K208" s="9" t="s">
        <v>748</v>
      </c>
      <c r="L208" s="9" t="s">
        <v>747</v>
      </c>
      <c r="M208" s="9" t="s">
        <v>746</v>
      </c>
      <c r="N208" s="9" t="s">
        <v>745</v>
      </c>
      <c r="O208" s="9">
        <v>-2.52159074820604</v>
      </c>
      <c r="P208" s="4">
        <f>O208/100</f>
        <v>-2.5215907482060401E-2</v>
      </c>
      <c r="Q208" s="5">
        <f>S207</f>
        <v>3982.6531791231391</v>
      </c>
      <c r="R208" s="5">
        <f>Q208*P208*$T$1</f>
        <v>-150.6393211468542</v>
      </c>
      <c r="S208" s="5">
        <f>R208+Q208</f>
        <v>3832.0138579762847</v>
      </c>
      <c r="T208" s="5"/>
      <c r="U208" s="4"/>
      <c r="V208" s="9"/>
      <c r="W208" s="9"/>
      <c r="X208" s="9" t="s">
        <v>744</v>
      </c>
      <c r="Y208" s="9" t="s">
        <v>63</v>
      </c>
      <c r="Z208" s="9" t="s">
        <v>743</v>
      </c>
      <c r="AA208" s="9" t="s">
        <v>742</v>
      </c>
      <c r="AB208" s="8">
        <v>45931</v>
      </c>
    </row>
    <row r="209" spans="1:28" x14ac:dyDescent="0.3">
      <c r="A209" s="15">
        <v>208</v>
      </c>
      <c r="B209" s="13" t="s">
        <v>42</v>
      </c>
      <c r="C209" s="14">
        <v>45950.166666666664</v>
      </c>
      <c r="D209" s="14">
        <v>45950.666666666664</v>
      </c>
      <c r="E209" s="14">
        <v>45951.625</v>
      </c>
      <c r="F209" s="13" t="s">
        <v>741</v>
      </c>
      <c r="G209" s="13" t="s">
        <v>740</v>
      </c>
      <c r="H209" s="13" t="s">
        <v>738</v>
      </c>
      <c r="I209" s="13" t="s">
        <v>739</v>
      </c>
      <c r="J209" s="13" t="s">
        <v>739</v>
      </c>
      <c r="K209" s="13" t="s">
        <v>738</v>
      </c>
      <c r="L209" s="13" t="s">
        <v>737</v>
      </c>
      <c r="M209" s="13" t="s">
        <v>736</v>
      </c>
      <c r="N209" s="13" t="s">
        <v>735</v>
      </c>
      <c r="O209" s="13">
        <v>-5.2787105439892503</v>
      </c>
      <c r="P209" s="4">
        <f>O209/100</f>
        <v>-5.2787105439892505E-2</v>
      </c>
      <c r="Q209" s="5">
        <f>S208</f>
        <v>3832.0138579762847</v>
      </c>
      <c r="R209" s="5">
        <f>Q209*P209*$T$1</f>
        <v>-303.42137935218511</v>
      </c>
      <c r="S209" s="5">
        <f>R209+Q209</f>
        <v>3528.5924786240994</v>
      </c>
      <c r="T209" s="5"/>
      <c r="U209" s="4"/>
      <c r="V209" s="13"/>
      <c r="W209" s="13"/>
      <c r="X209" s="13" t="s">
        <v>734</v>
      </c>
      <c r="Y209" s="13" t="s">
        <v>63</v>
      </c>
      <c r="Z209" s="13" t="s">
        <v>733</v>
      </c>
      <c r="AA209" s="13" t="s">
        <v>732</v>
      </c>
      <c r="AB209" s="12">
        <v>45931</v>
      </c>
    </row>
    <row r="210" spans="1:28" x14ac:dyDescent="0.3">
      <c r="A210" s="11">
        <v>209</v>
      </c>
      <c r="B210" s="9" t="s">
        <v>11</v>
      </c>
      <c r="C210" s="10">
        <v>45951.677083333336</v>
      </c>
      <c r="D210" s="10">
        <v>45951.697916666664</v>
      </c>
      <c r="E210" s="10">
        <v>45952.21875</v>
      </c>
      <c r="F210" s="9" t="s">
        <v>731</v>
      </c>
      <c r="G210" s="9" t="s">
        <v>730</v>
      </c>
      <c r="H210" s="9" t="s">
        <v>728</v>
      </c>
      <c r="I210" s="9" t="s">
        <v>729</v>
      </c>
      <c r="J210" s="9" t="s">
        <v>729</v>
      </c>
      <c r="K210" s="9" t="s">
        <v>728</v>
      </c>
      <c r="L210" s="9" t="s">
        <v>727</v>
      </c>
      <c r="M210" s="9" t="s">
        <v>726</v>
      </c>
      <c r="N210" s="9" t="s">
        <v>725</v>
      </c>
      <c r="O210" s="9">
        <v>6</v>
      </c>
      <c r="P210" s="4">
        <f>O210/100</f>
        <v>0.06</v>
      </c>
      <c r="Q210" s="5">
        <f>S209</f>
        <v>3528.5924786240994</v>
      </c>
      <c r="R210" s="5">
        <f>Q210*P210*$T$1</f>
        <v>317.57332307616895</v>
      </c>
      <c r="S210" s="5">
        <f>R210+Q210</f>
        <v>3846.1658017002683</v>
      </c>
      <c r="T210" s="5"/>
      <c r="U210" s="4"/>
      <c r="V210" s="9"/>
      <c r="W210" s="9"/>
      <c r="X210" s="9" t="s">
        <v>724</v>
      </c>
      <c r="Y210" s="9" t="s">
        <v>2</v>
      </c>
      <c r="Z210" s="9" t="s">
        <v>723</v>
      </c>
      <c r="AA210" s="9" t="s">
        <v>679</v>
      </c>
      <c r="AB210" s="8">
        <v>45931</v>
      </c>
    </row>
    <row r="211" spans="1:28" x14ac:dyDescent="0.3">
      <c r="A211" s="15">
        <v>210</v>
      </c>
      <c r="B211" s="13" t="s">
        <v>42</v>
      </c>
      <c r="C211" s="14">
        <v>45951.6875</v>
      </c>
      <c r="D211" s="14">
        <v>45951.697916666664</v>
      </c>
      <c r="E211" s="14">
        <v>45951.979166666664</v>
      </c>
      <c r="F211" s="13" t="s">
        <v>722</v>
      </c>
      <c r="G211" s="13" t="s">
        <v>721</v>
      </c>
      <c r="H211" s="13" t="s">
        <v>719</v>
      </c>
      <c r="I211" s="13" t="s">
        <v>720</v>
      </c>
      <c r="J211" s="13" t="s">
        <v>720</v>
      </c>
      <c r="K211" s="13" t="s">
        <v>719</v>
      </c>
      <c r="L211" s="13" t="s">
        <v>718</v>
      </c>
      <c r="M211" s="13" t="s">
        <v>717</v>
      </c>
      <c r="N211" s="13" t="s">
        <v>716</v>
      </c>
      <c r="O211" s="13">
        <v>8</v>
      </c>
      <c r="P211" s="4">
        <f>O211/100</f>
        <v>0.08</v>
      </c>
      <c r="Q211" s="5">
        <f>S210</f>
        <v>3846.1658017002683</v>
      </c>
      <c r="R211" s="5">
        <f>Q211*P211*$T$1</f>
        <v>461.53989620403217</v>
      </c>
      <c r="S211" s="5">
        <f>R211+Q211</f>
        <v>4307.7056979043009</v>
      </c>
      <c r="T211" s="5"/>
      <c r="U211" s="4"/>
      <c r="V211" s="13"/>
      <c r="W211" s="13"/>
      <c r="X211" s="13" t="s">
        <v>715</v>
      </c>
      <c r="Y211" s="13" t="s">
        <v>2</v>
      </c>
      <c r="Z211" s="13" t="s">
        <v>714</v>
      </c>
      <c r="AA211" s="13" t="s">
        <v>669</v>
      </c>
      <c r="AB211" s="12">
        <v>45931</v>
      </c>
    </row>
    <row r="212" spans="1:28" x14ac:dyDescent="0.3">
      <c r="A212" s="11">
        <v>211</v>
      </c>
      <c r="B212" s="9" t="s">
        <v>22</v>
      </c>
      <c r="C212" s="10">
        <v>45951.6875</v>
      </c>
      <c r="D212" s="10">
        <v>45951.71875</v>
      </c>
      <c r="E212" s="10">
        <v>45952.125</v>
      </c>
      <c r="F212" s="9" t="s">
        <v>713</v>
      </c>
      <c r="G212" s="9" t="s">
        <v>106</v>
      </c>
      <c r="H212" s="9" t="s">
        <v>711</v>
      </c>
      <c r="I212" s="9" t="s">
        <v>712</v>
      </c>
      <c r="J212" s="9" t="s">
        <v>712</v>
      </c>
      <c r="K212" s="9" t="s">
        <v>711</v>
      </c>
      <c r="L212" s="9" t="s">
        <v>710</v>
      </c>
      <c r="M212" s="9" t="s">
        <v>709</v>
      </c>
      <c r="N212" s="9" t="s">
        <v>708</v>
      </c>
      <c r="O212" s="9">
        <v>8</v>
      </c>
      <c r="P212" s="4">
        <f>O212/100</f>
        <v>0.08</v>
      </c>
      <c r="Q212" s="5">
        <f>S211</f>
        <v>4307.7056979043009</v>
      </c>
      <c r="R212" s="5">
        <f>Q212*P212*$T$1</f>
        <v>516.92468374851614</v>
      </c>
      <c r="S212" s="5">
        <f>R212+Q212</f>
        <v>4824.6303816528171</v>
      </c>
      <c r="T212" s="5"/>
      <c r="U212" s="4"/>
      <c r="V212" s="9"/>
      <c r="W212" s="9"/>
      <c r="X212" s="9" t="s">
        <v>707</v>
      </c>
      <c r="Y212" s="9" t="s">
        <v>2</v>
      </c>
      <c r="Z212" s="9" t="s">
        <v>706</v>
      </c>
      <c r="AA212" s="9" t="s">
        <v>688</v>
      </c>
      <c r="AB212" s="8">
        <v>45931</v>
      </c>
    </row>
    <row r="213" spans="1:28" x14ac:dyDescent="0.3">
      <c r="A213" s="15">
        <v>212</v>
      </c>
      <c r="B213" s="13" t="s">
        <v>108</v>
      </c>
      <c r="C213" s="14">
        <v>45951.677083333336</v>
      </c>
      <c r="D213" s="14">
        <v>45951.729166666664</v>
      </c>
      <c r="E213" s="14">
        <v>45952.739583333336</v>
      </c>
      <c r="F213" s="13" t="s">
        <v>705</v>
      </c>
      <c r="G213" s="13" t="s">
        <v>704</v>
      </c>
      <c r="H213" s="13" t="s">
        <v>702</v>
      </c>
      <c r="I213" s="13" t="s">
        <v>703</v>
      </c>
      <c r="J213" s="13" t="s">
        <v>703</v>
      </c>
      <c r="K213" s="13" t="s">
        <v>702</v>
      </c>
      <c r="L213" s="13" t="s">
        <v>701</v>
      </c>
      <c r="M213" s="13" t="s">
        <v>700</v>
      </c>
      <c r="N213" s="13" t="s">
        <v>699</v>
      </c>
      <c r="O213" s="13">
        <v>10</v>
      </c>
      <c r="P213" s="4">
        <f>O213/100</f>
        <v>0.1</v>
      </c>
      <c r="Q213" s="5">
        <f>S212</f>
        <v>4824.6303816528171</v>
      </c>
      <c r="R213" s="5">
        <f>Q213*P213*$T$1</f>
        <v>723.6945572479226</v>
      </c>
      <c r="S213" s="5">
        <f>R213+Q213</f>
        <v>5548.3249389007397</v>
      </c>
      <c r="T213" s="5"/>
      <c r="U213" s="4"/>
      <c r="V213" s="13"/>
      <c r="W213" s="13"/>
      <c r="X213" s="13" t="s">
        <v>698</v>
      </c>
      <c r="Y213" s="13" t="s">
        <v>2</v>
      </c>
      <c r="Z213" s="13" t="s">
        <v>697</v>
      </c>
      <c r="AA213" s="13" t="s">
        <v>588</v>
      </c>
      <c r="AB213" s="12">
        <v>45931</v>
      </c>
    </row>
    <row r="214" spans="1:28" x14ac:dyDescent="0.3">
      <c r="A214" s="11">
        <v>213</v>
      </c>
      <c r="B214" s="9" t="s">
        <v>22</v>
      </c>
      <c r="C214" s="10">
        <v>45953.354166666664</v>
      </c>
      <c r="D214" s="10">
        <v>45953.395833333336</v>
      </c>
      <c r="E214" s="10">
        <v>45953.697916666664</v>
      </c>
      <c r="F214" s="9" t="s">
        <v>696</v>
      </c>
      <c r="G214" s="9" t="s">
        <v>695</v>
      </c>
      <c r="H214" s="9" t="s">
        <v>693</v>
      </c>
      <c r="I214" s="9" t="s">
        <v>694</v>
      </c>
      <c r="J214" s="9" t="s">
        <v>694</v>
      </c>
      <c r="K214" s="9" t="s">
        <v>693</v>
      </c>
      <c r="L214" s="9" t="s">
        <v>692</v>
      </c>
      <c r="M214" s="9" t="s">
        <v>691</v>
      </c>
      <c r="N214" s="9" t="s">
        <v>690</v>
      </c>
      <c r="O214" s="9">
        <v>-0.401918636741744</v>
      </c>
      <c r="P214" s="4">
        <f>O214/100</f>
        <v>-4.0191863674174403E-3</v>
      </c>
      <c r="Q214" s="5">
        <f>S213</f>
        <v>5548.3249389007397</v>
      </c>
      <c r="R214" s="5">
        <f>Q214*P214*$T$1</f>
        <v>-33.449627934648078</v>
      </c>
      <c r="S214" s="5">
        <f>R214+Q214</f>
        <v>5514.875310966092</v>
      </c>
      <c r="T214" s="5"/>
      <c r="U214" s="4"/>
      <c r="V214" s="9"/>
      <c r="W214" s="9"/>
      <c r="X214" s="9" t="s">
        <v>689</v>
      </c>
      <c r="Y214" s="9" t="s">
        <v>63</v>
      </c>
      <c r="Z214" s="9" t="s">
        <v>688</v>
      </c>
      <c r="AA214" s="9" t="s">
        <v>643</v>
      </c>
      <c r="AB214" s="8">
        <v>45931</v>
      </c>
    </row>
    <row r="215" spans="1:28" x14ac:dyDescent="0.3">
      <c r="A215" s="15">
        <v>214</v>
      </c>
      <c r="B215" s="13" t="s">
        <v>11</v>
      </c>
      <c r="C215" s="14">
        <v>45954.28125</v>
      </c>
      <c r="D215" s="14">
        <v>45954.364583333336</v>
      </c>
      <c r="E215" s="14">
        <v>45954.520833333336</v>
      </c>
      <c r="F215" s="13" t="s">
        <v>687</v>
      </c>
      <c r="G215" s="13" t="s">
        <v>686</v>
      </c>
      <c r="H215" s="13" t="s">
        <v>684</v>
      </c>
      <c r="I215" s="13" t="s">
        <v>685</v>
      </c>
      <c r="J215" s="13" t="s">
        <v>685</v>
      </c>
      <c r="K215" s="13" t="s">
        <v>684</v>
      </c>
      <c r="L215" s="13" t="s">
        <v>683</v>
      </c>
      <c r="M215" s="13" t="s">
        <v>682</v>
      </c>
      <c r="N215" s="13" t="s">
        <v>681</v>
      </c>
      <c r="O215" s="13">
        <v>-0.435702438227281</v>
      </c>
      <c r="P215" s="4">
        <f>O215/100</f>
        <v>-4.3570243822728099E-3</v>
      </c>
      <c r="Q215" s="5">
        <f>S214</f>
        <v>5514.875310966092</v>
      </c>
      <c r="R215" s="5">
        <f>Q215*P215*$T$1</f>
        <v>-36.042669292610412</v>
      </c>
      <c r="S215" s="5">
        <f>R215+Q215</f>
        <v>5478.8326416734817</v>
      </c>
      <c r="T215" s="5"/>
      <c r="U215" s="4"/>
      <c r="V215" s="13"/>
      <c r="W215" s="13"/>
      <c r="X215" s="13" t="s">
        <v>680</v>
      </c>
      <c r="Y215" s="13" t="s">
        <v>63</v>
      </c>
      <c r="Z215" s="13" t="s">
        <v>679</v>
      </c>
      <c r="AA215" s="13" t="s">
        <v>678</v>
      </c>
      <c r="AB215" s="12">
        <v>45931</v>
      </c>
    </row>
    <row r="216" spans="1:28" x14ac:dyDescent="0.3">
      <c r="A216" s="11">
        <v>215</v>
      </c>
      <c r="B216" s="9" t="s">
        <v>42</v>
      </c>
      <c r="C216" s="10">
        <v>45954.041666666664</v>
      </c>
      <c r="D216" s="10">
        <v>45954.604166666664</v>
      </c>
      <c r="E216" s="10">
        <v>45955.114583333336</v>
      </c>
      <c r="F216" s="9" t="s">
        <v>677</v>
      </c>
      <c r="G216" s="9" t="s">
        <v>676</v>
      </c>
      <c r="H216" s="9" t="s">
        <v>674</v>
      </c>
      <c r="I216" s="9" t="s">
        <v>675</v>
      </c>
      <c r="J216" s="9" t="s">
        <v>675</v>
      </c>
      <c r="K216" s="9" t="s">
        <v>674</v>
      </c>
      <c r="L216" s="9" t="s">
        <v>673</v>
      </c>
      <c r="M216" s="9" t="s">
        <v>672</v>
      </c>
      <c r="N216" s="9" t="s">
        <v>671</v>
      </c>
      <c r="O216" s="9">
        <v>-5.6272303046939198</v>
      </c>
      <c r="P216" s="4">
        <f>O216/100</f>
        <v>-5.6272303046939198E-2</v>
      </c>
      <c r="Q216" s="5">
        <f>S215</f>
        <v>5478.8326416734817</v>
      </c>
      <c r="R216" s="5">
        <f>Q216*P216*$T$1</f>
        <v>-462.45979613356894</v>
      </c>
      <c r="S216" s="5">
        <f>R216+Q216</f>
        <v>5016.3728455399123</v>
      </c>
      <c r="T216" s="5"/>
      <c r="U216" s="4"/>
      <c r="V216" s="9"/>
      <c r="W216" s="9"/>
      <c r="X216" s="9" t="s">
        <v>670</v>
      </c>
      <c r="Y216" s="9" t="s">
        <v>63</v>
      </c>
      <c r="Z216" s="9" t="s">
        <v>669</v>
      </c>
      <c r="AA216" s="9" t="s">
        <v>660</v>
      </c>
      <c r="AB216" s="8">
        <v>45931</v>
      </c>
    </row>
    <row r="217" spans="1:28" x14ac:dyDescent="0.3">
      <c r="A217" s="15">
        <v>216</v>
      </c>
      <c r="B217" s="13" t="s">
        <v>42</v>
      </c>
      <c r="C217" s="14">
        <v>45955.760416666664</v>
      </c>
      <c r="D217" s="14">
        <v>45956.135416666664</v>
      </c>
      <c r="E217" s="14">
        <v>45956.28125</v>
      </c>
      <c r="F217" s="13" t="s">
        <v>668</v>
      </c>
      <c r="G217" s="13" t="s">
        <v>667</v>
      </c>
      <c r="H217" s="13" t="s">
        <v>665</v>
      </c>
      <c r="I217" s="13" t="s">
        <v>666</v>
      </c>
      <c r="J217" s="13" t="s">
        <v>666</v>
      </c>
      <c r="K217" s="13" t="s">
        <v>665</v>
      </c>
      <c r="L217" s="13" t="s">
        <v>664</v>
      </c>
      <c r="M217" s="13" t="s">
        <v>663</v>
      </c>
      <c r="N217" s="13" t="s">
        <v>662</v>
      </c>
      <c r="O217" s="13">
        <v>-2.5199503786405901</v>
      </c>
      <c r="P217" s="4">
        <f>O217/100</f>
        <v>-2.51995037864059E-2</v>
      </c>
      <c r="Q217" s="5">
        <f>S216</f>
        <v>5016.3728455399123</v>
      </c>
      <c r="R217" s="5">
        <f>Q217*P217*$T$1</f>
        <v>-189.61515977281016</v>
      </c>
      <c r="S217" s="5">
        <f>R217+Q217</f>
        <v>4826.757685767102</v>
      </c>
      <c r="T217" s="5"/>
      <c r="U217" s="4"/>
      <c r="V217" s="13"/>
      <c r="W217" s="13"/>
      <c r="X217" s="13" t="s">
        <v>661</v>
      </c>
      <c r="Y217" s="13" t="s">
        <v>63</v>
      </c>
      <c r="Z217" s="13" t="s">
        <v>660</v>
      </c>
      <c r="AA217" s="13" t="s">
        <v>652</v>
      </c>
      <c r="AB217" s="12">
        <v>45931</v>
      </c>
    </row>
    <row r="218" spans="1:28" x14ac:dyDescent="0.3">
      <c r="A218" s="11">
        <v>217</v>
      </c>
      <c r="B218" s="9" t="s">
        <v>42</v>
      </c>
      <c r="C218" s="10">
        <v>45956.385416666664</v>
      </c>
      <c r="D218" s="10">
        <v>45956.46875</v>
      </c>
      <c r="E218" s="10">
        <v>45956.760416666664</v>
      </c>
      <c r="F218" s="9" t="s">
        <v>659</v>
      </c>
      <c r="G218" s="9" t="s">
        <v>658</v>
      </c>
      <c r="H218" s="9" t="s">
        <v>160</v>
      </c>
      <c r="I218" s="9" t="s">
        <v>657</v>
      </c>
      <c r="J218" s="9" t="s">
        <v>657</v>
      </c>
      <c r="K218" s="9" t="s">
        <v>160</v>
      </c>
      <c r="L218" s="9" t="s">
        <v>656</v>
      </c>
      <c r="M218" s="9" t="s">
        <v>655</v>
      </c>
      <c r="N218" s="9" t="s">
        <v>654</v>
      </c>
      <c r="O218" s="9">
        <v>-1.93983000035269</v>
      </c>
      <c r="P218" s="4">
        <f>O218/100</f>
        <v>-1.9398300003526901E-2</v>
      </c>
      <c r="Q218" s="5">
        <f>S217</f>
        <v>4826.757685767102</v>
      </c>
      <c r="R218" s="5">
        <f>Q218*P218*$T$1</f>
        <v>-140.4463404492592</v>
      </c>
      <c r="S218" s="5">
        <f>R218+Q218</f>
        <v>4686.311345317843</v>
      </c>
      <c r="T218" s="5"/>
      <c r="U218" s="4"/>
      <c r="V218" s="9"/>
      <c r="W218" s="9"/>
      <c r="X218" s="9" t="s">
        <v>653</v>
      </c>
      <c r="Y218" s="9" t="s">
        <v>63</v>
      </c>
      <c r="Z218" s="9" t="s">
        <v>652</v>
      </c>
      <c r="AA218" s="9" t="s">
        <v>597</v>
      </c>
      <c r="AB218" s="8">
        <v>45931</v>
      </c>
    </row>
    <row r="219" spans="1:28" x14ac:dyDescent="0.3">
      <c r="A219" s="15">
        <v>218</v>
      </c>
      <c r="B219" s="13" t="s">
        <v>22</v>
      </c>
      <c r="C219" s="14">
        <v>45956.5</v>
      </c>
      <c r="D219" s="14">
        <v>45956.84375</v>
      </c>
      <c r="E219" s="14">
        <v>45956.916666666664</v>
      </c>
      <c r="F219" s="13" t="s">
        <v>651</v>
      </c>
      <c r="G219" s="13" t="s">
        <v>650</v>
      </c>
      <c r="H219" s="13" t="s">
        <v>648</v>
      </c>
      <c r="I219" s="13" t="s">
        <v>649</v>
      </c>
      <c r="J219" s="13" t="s">
        <v>649</v>
      </c>
      <c r="K219" s="13" t="s">
        <v>648</v>
      </c>
      <c r="L219" s="13" t="s">
        <v>647</v>
      </c>
      <c r="M219" s="13" t="s">
        <v>646</v>
      </c>
      <c r="N219" s="13" t="s">
        <v>645</v>
      </c>
      <c r="O219" s="13">
        <v>-2.5343635308148298</v>
      </c>
      <c r="P219" s="4">
        <f>O219/100</f>
        <v>-2.5343635308148298E-2</v>
      </c>
      <c r="Q219" s="5">
        <f>S218</f>
        <v>4686.311345317843</v>
      </c>
      <c r="R219" s="5">
        <f>Q219*P219*$T$1</f>
        <v>-178.15224851425987</v>
      </c>
      <c r="S219" s="5">
        <f>R219+Q219</f>
        <v>4508.1590968035835</v>
      </c>
      <c r="T219" s="5"/>
      <c r="U219" s="4"/>
      <c r="V219" s="13"/>
      <c r="W219" s="13"/>
      <c r="X219" s="13" t="s">
        <v>644</v>
      </c>
      <c r="Y219" s="13" t="s">
        <v>63</v>
      </c>
      <c r="Z219" s="13" t="s">
        <v>643</v>
      </c>
      <c r="AA219" s="13" t="s">
        <v>642</v>
      </c>
      <c r="AB219" s="12">
        <v>45931</v>
      </c>
    </row>
    <row r="220" spans="1:28" x14ac:dyDescent="0.3">
      <c r="A220" s="11">
        <v>219</v>
      </c>
      <c r="B220" s="9" t="s">
        <v>11</v>
      </c>
      <c r="C220" s="10">
        <v>45956.5625</v>
      </c>
      <c r="D220" s="10">
        <v>45956.895833333336</v>
      </c>
      <c r="E220" s="10">
        <v>45956.916666666664</v>
      </c>
      <c r="F220" s="9" t="s">
        <v>641</v>
      </c>
      <c r="G220" s="9" t="s">
        <v>640</v>
      </c>
      <c r="H220" s="9" t="s">
        <v>638</v>
      </c>
      <c r="I220" s="9" t="s">
        <v>639</v>
      </c>
      <c r="J220" s="9" t="s">
        <v>639</v>
      </c>
      <c r="K220" s="9" t="s">
        <v>638</v>
      </c>
      <c r="L220" s="9" t="s">
        <v>637</v>
      </c>
      <c r="M220" s="9" t="s">
        <v>636</v>
      </c>
      <c r="N220" s="9" t="s">
        <v>635</v>
      </c>
      <c r="O220" s="9">
        <v>-1.0789320223934999</v>
      </c>
      <c r="P220" s="4">
        <f>O220/100</f>
        <v>-1.0789320223934999E-2</v>
      </c>
      <c r="Q220" s="5">
        <f>S219</f>
        <v>4508.1590968035835</v>
      </c>
      <c r="R220" s="5">
        <f>Q220*P220*$T$1</f>
        <v>-72.959958173789161</v>
      </c>
      <c r="S220" s="5">
        <f>R220+Q220</f>
        <v>4435.1991386297941</v>
      </c>
      <c r="T220" s="5"/>
      <c r="U220" s="4"/>
      <c r="V220" s="9"/>
      <c r="W220" s="9"/>
      <c r="X220" s="9" t="s">
        <v>634</v>
      </c>
      <c r="Y220" s="9" t="s">
        <v>63</v>
      </c>
      <c r="Z220" s="9" t="s">
        <v>633</v>
      </c>
      <c r="AA220" s="9" t="s">
        <v>632</v>
      </c>
      <c r="AB220" s="8">
        <v>45931</v>
      </c>
    </row>
    <row r="221" spans="1:28" x14ac:dyDescent="0.3">
      <c r="A221" s="15">
        <v>220</v>
      </c>
      <c r="B221" s="13" t="s">
        <v>11</v>
      </c>
      <c r="C221" s="14">
        <v>45957.083333333336</v>
      </c>
      <c r="D221" s="14">
        <v>45957.197916666664</v>
      </c>
      <c r="E221" s="14">
        <v>45958.833333333336</v>
      </c>
      <c r="F221" s="13" t="s">
        <v>631</v>
      </c>
      <c r="G221" s="13" t="s">
        <v>630</v>
      </c>
      <c r="H221" s="13" t="s">
        <v>628</v>
      </c>
      <c r="I221" s="13" t="s">
        <v>629</v>
      </c>
      <c r="J221" s="13" t="s">
        <v>629</v>
      </c>
      <c r="K221" s="13" t="s">
        <v>628</v>
      </c>
      <c r="L221" s="13" t="s">
        <v>627</v>
      </c>
      <c r="M221" s="13" t="s">
        <v>626</v>
      </c>
      <c r="N221" s="13" t="s">
        <v>625</v>
      </c>
      <c r="O221" s="13">
        <v>6</v>
      </c>
      <c r="P221" s="4">
        <f>O221/100</f>
        <v>0.06</v>
      </c>
      <c r="Q221" s="5">
        <f>S220</f>
        <v>4435.1991386297941</v>
      </c>
      <c r="R221" s="5">
        <f>Q221*P221*$T$1</f>
        <v>399.1679224766815</v>
      </c>
      <c r="S221" s="5">
        <f>R221+Q221</f>
        <v>4834.3670611064754</v>
      </c>
      <c r="T221" s="5"/>
      <c r="U221" s="4"/>
      <c r="V221" s="13"/>
      <c r="W221" s="13"/>
      <c r="X221" s="13" t="s">
        <v>624</v>
      </c>
      <c r="Y221" s="13" t="s">
        <v>2</v>
      </c>
      <c r="Z221" s="13" t="s">
        <v>623</v>
      </c>
      <c r="AA221" s="13" t="s">
        <v>543</v>
      </c>
      <c r="AB221" s="12">
        <v>45931</v>
      </c>
    </row>
    <row r="222" spans="1:28" x14ac:dyDescent="0.3">
      <c r="A222" s="11">
        <v>221</v>
      </c>
      <c r="B222" s="9" t="s">
        <v>22</v>
      </c>
      <c r="C222" s="10">
        <v>45957.21875</v>
      </c>
      <c r="D222" s="10">
        <v>45957.3125</v>
      </c>
      <c r="E222" s="10">
        <v>45958.84375</v>
      </c>
      <c r="F222" s="9" t="s">
        <v>622</v>
      </c>
      <c r="G222" s="9" t="s">
        <v>621</v>
      </c>
      <c r="H222" s="9" t="s">
        <v>198</v>
      </c>
      <c r="I222" s="9" t="s">
        <v>620</v>
      </c>
      <c r="J222" s="9" t="s">
        <v>620</v>
      </c>
      <c r="K222" s="9" t="s">
        <v>198</v>
      </c>
      <c r="L222" s="9" t="s">
        <v>619</v>
      </c>
      <c r="M222" s="9" t="s">
        <v>618</v>
      </c>
      <c r="N222" s="9" t="s">
        <v>617</v>
      </c>
      <c r="O222" s="9">
        <v>8</v>
      </c>
      <c r="P222" s="4">
        <f>O222/100</f>
        <v>0.08</v>
      </c>
      <c r="Q222" s="5">
        <f>S221</f>
        <v>4834.3670611064754</v>
      </c>
      <c r="R222" s="5">
        <f>Q222*P222*$T$1</f>
        <v>580.12404733277708</v>
      </c>
      <c r="S222" s="5">
        <f>R222+Q222</f>
        <v>5414.4911084392525</v>
      </c>
      <c r="T222" s="5"/>
      <c r="U222" s="4"/>
      <c r="V222" s="9"/>
      <c r="W222" s="9"/>
      <c r="X222" s="9" t="s">
        <v>616</v>
      </c>
      <c r="Y222" s="9" t="s">
        <v>2</v>
      </c>
      <c r="Z222" s="9" t="s">
        <v>615</v>
      </c>
      <c r="AA222" s="9" t="s">
        <v>606</v>
      </c>
      <c r="AB222" s="8">
        <v>45931</v>
      </c>
    </row>
    <row r="223" spans="1:28" x14ac:dyDescent="0.3">
      <c r="A223" s="15">
        <v>222</v>
      </c>
      <c r="B223" s="13" t="s">
        <v>22</v>
      </c>
      <c r="C223" s="14">
        <v>45957.75</v>
      </c>
      <c r="D223" s="14">
        <v>45957.8125</v>
      </c>
      <c r="E223" s="14">
        <v>45958.875</v>
      </c>
      <c r="F223" s="13" t="s">
        <v>614</v>
      </c>
      <c r="G223" s="13" t="s">
        <v>613</v>
      </c>
      <c r="H223" s="13" t="s">
        <v>611</v>
      </c>
      <c r="I223" s="13" t="s">
        <v>612</v>
      </c>
      <c r="J223" s="13" t="s">
        <v>612</v>
      </c>
      <c r="K223" s="13" t="s">
        <v>611</v>
      </c>
      <c r="L223" s="13" t="s">
        <v>610</v>
      </c>
      <c r="M223" s="13" t="s">
        <v>609</v>
      </c>
      <c r="N223" s="13" t="s">
        <v>608</v>
      </c>
      <c r="O223" s="13">
        <v>8</v>
      </c>
      <c r="P223" s="4">
        <f>O223/100</f>
        <v>0.08</v>
      </c>
      <c r="Q223" s="5">
        <f>S222</f>
        <v>5414.4911084392525</v>
      </c>
      <c r="R223" s="5">
        <f>Q223*P223*$T$1</f>
        <v>649.73893301271028</v>
      </c>
      <c r="S223" s="5">
        <f>R223+Q223</f>
        <v>6064.2300414519632</v>
      </c>
      <c r="T223" s="5"/>
      <c r="U223" s="4"/>
      <c r="V223" s="13"/>
      <c r="W223" s="13"/>
      <c r="X223" s="13" t="s">
        <v>607</v>
      </c>
      <c r="Y223" s="13" t="s">
        <v>2</v>
      </c>
      <c r="Z223" s="13" t="s">
        <v>606</v>
      </c>
      <c r="AA223" s="13" t="s">
        <v>570</v>
      </c>
      <c r="AB223" s="12">
        <v>45931</v>
      </c>
    </row>
    <row r="224" spans="1:28" x14ac:dyDescent="0.3">
      <c r="A224" s="11">
        <v>223</v>
      </c>
      <c r="B224" s="9" t="s">
        <v>42</v>
      </c>
      <c r="C224" s="10">
        <v>45957.729166666664</v>
      </c>
      <c r="D224" s="10">
        <v>45958.052083333336</v>
      </c>
      <c r="E224" s="10">
        <v>45958.84375</v>
      </c>
      <c r="F224" s="9" t="s">
        <v>605</v>
      </c>
      <c r="G224" s="9" t="s">
        <v>604</v>
      </c>
      <c r="H224" s="9" t="s">
        <v>602</v>
      </c>
      <c r="I224" s="9" t="s">
        <v>603</v>
      </c>
      <c r="J224" s="9" t="s">
        <v>603</v>
      </c>
      <c r="K224" s="9" t="s">
        <v>602</v>
      </c>
      <c r="L224" s="9" t="s">
        <v>601</v>
      </c>
      <c r="M224" s="9" t="s">
        <v>600</v>
      </c>
      <c r="N224" s="9" t="s">
        <v>599</v>
      </c>
      <c r="O224" s="9">
        <v>8</v>
      </c>
      <c r="P224" s="4">
        <f>O224/100</f>
        <v>0.08</v>
      </c>
      <c r="Q224" s="5">
        <f>S223</f>
        <v>6064.2300414519632</v>
      </c>
      <c r="R224" s="5">
        <f>Q224*P224*$T$1</f>
        <v>727.70760497423555</v>
      </c>
      <c r="S224" s="5">
        <f>R224+Q224</f>
        <v>6791.9376464261986</v>
      </c>
      <c r="T224" s="5"/>
      <c r="U224" s="4"/>
      <c r="V224" s="9"/>
      <c r="W224" s="9"/>
      <c r="X224" s="9" t="s">
        <v>598</v>
      </c>
      <c r="Y224" s="9" t="s">
        <v>2</v>
      </c>
      <c r="Z224" s="9" t="s">
        <v>597</v>
      </c>
      <c r="AA224" s="9" t="s">
        <v>579</v>
      </c>
      <c r="AB224" s="8">
        <v>45931</v>
      </c>
    </row>
    <row r="225" spans="1:28" x14ac:dyDescent="0.3">
      <c r="A225" s="15">
        <v>224</v>
      </c>
      <c r="B225" s="13" t="s">
        <v>108</v>
      </c>
      <c r="C225" s="14">
        <v>45959.46875</v>
      </c>
      <c r="D225" s="14">
        <v>45959.541666666664</v>
      </c>
      <c r="E225" s="14">
        <v>45960.072916666664</v>
      </c>
      <c r="F225" s="13" t="s">
        <v>596</v>
      </c>
      <c r="G225" s="13" t="s">
        <v>595</v>
      </c>
      <c r="H225" s="13" t="s">
        <v>593</v>
      </c>
      <c r="I225" s="13" t="s">
        <v>594</v>
      </c>
      <c r="J225" s="13" t="s">
        <v>594</v>
      </c>
      <c r="K225" s="13" t="s">
        <v>593</v>
      </c>
      <c r="L225" s="13" t="s">
        <v>592</v>
      </c>
      <c r="M225" s="13" t="s">
        <v>591</v>
      </c>
      <c r="N225" s="13" t="s">
        <v>590</v>
      </c>
      <c r="O225" s="13">
        <v>-5.1264850360303802</v>
      </c>
      <c r="P225" s="4">
        <f>O225/100</f>
        <v>-5.1264850360303801E-2</v>
      </c>
      <c r="Q225" s="5">
        <f>S224</f>
        <v>6791.9376464261986</v>
      </c>
      <c r="R225" s="5">
        <f>Q225*P225*$T$1</f>
        <v>-522.28150065082968</v>
      </c>
      <c r="S225" s="5">
        <f>R225+Q225</f>
        <v>6269.6561457753687</v>
      </c>
      <c r="T225" s="5"/>
      <c r="U225" s="4"/>
      <c r="V225" s="13"/>
      <c r="W225" s="13"/>
      <c r="X225" s="13" t="s">
        <v>589</v>
      </c>
      <c r="Y225" s="13" t="s">
        <v>63</v>
      </c>
      <c r="Z225" s="13" t="s">
        <v>588</v>
      </c>
      <c r="AA225" s="13" t="s">
        <v>480</v>
      </c>
      <c r="AB225" s="12">
        <v>45931</v>
      </c>
    </row>
    <row r="226" spans="1:28" x14ac:dyDescent="0.3">
      <c r="A226" s="11">
        <v>225</v>
      </c>
      <c r="B226" s="9" t="s">
        <v>42</v>
      </c>
      <c r="C226" s="10">
        <v>45959.583333333336</v>
      </c>
      <c r="D226" s="10">
        <v>45959.645833333336</v>
      </c>
      <c r="E226" s="10">
        <v>45959.729166666664</v>
      </c>
      <c r="F226" s="9" t="s">
        <v>587</v>
      </c>
      <c r="G226" s="9" t="s">
        <v>586</v>
      </c>
      <c r="H226" s="9" t="s">
        <v>584</v>
      </c>
      <c r="I226" s="9" t="s">
        <v>585</v>
      </c>
      <c r="J226" s="9" t="s">
        <v>585</v>
      </c>
      <c r="K226" s="9" t="s">
        <v>584</v>
      </c>
      <c r="L226" s="9" t="s">
        <v>583</v>
      </c>
      <c r="M226" s="9" t="s">
        <v>582</v>
      </c>
      <c r="N226" s="9" t="s">
        <v>581</v>
      </c>
      <c r="O226" s="9">
        <v>-1.4492753623188399</v>
      </c>
      <c r="P226" s="4">
        <f>O226/100</f>
        <v>-1.4492753623188399E-2</v>
      </c>
      <c r="Q226" s="5">
        <f>S225</f>
        <v>6269.6561457753687</v>
      </c>
      <c r="R226" s="5">
        <f>Q226*P226*$T$1</f>
        <v>-136.29687273424707</v>
      </c>
      <c r="S226" s="5">
        <f>R226+Q226</f>
        <v>6133.3592730411219</v>
      </c>
      <c r="T226" s="5"/>
      <c r="U226" s="4"/>
      <c r="V226" s="9"/>
      <c r="W226" s="9"/>
      <c r="X226" s="9" t="s">
        <v>580</v>
      </c>
      <c r="Y226" s="9" t="s">
        <v>63</v>
      </c>
      <c r="Z226" s="9" t="s">
        <v>579</v>
      </c>
      <c r="AA226" s="9" t="s">
        <v>552</v>
      </c>
      <c r="AB226" s="8">
        <v>45931</v>
      </c>
    </row>
    <row r="227" spans="1:28" x14ac:dyDescent="0.3">
      <c r="A227" s="15">
        <v>226</v>
      </c>
      <c r="B227" s="13" t="s">
        <v>22</v>
      </c>
      <c r="C227" s="14">
        <v>45959.4375</v>
      </c>
      <c r="D227" s="14">
        <v>45959.645833333336</v>
      </c>
      <c r="E227" s="14">
        <v>45959.739583333336</v>
      </c>
      <c r="F227" s="13" t="s">
        <v>578</v>
      </c>
      <c r="G227" s="13" t="s">
        <v>577</v>
      </c>
      <c r="H227" s="13" t="s">
        <v>575</v>
      </c>
      <c r="I227" s="13" t="s">
        <v>576</v>
      </c>
      <c r="J227" s="13" t="s">
        <v>576</v>
      </c>
      <c r="K227" s="13" t="s">
        <v>575</v>
      </c>
      <c r="L227" s="13" t="s">
        <v>574</v>
      </c>
      <c r="M227" s="13" t="s">
        <v>573</v>
      </c>
      <c r="N227" s="13" t="s">
        <v>572</v>
      </c>
      <c r="O227" s="13">
        <v>-3.0285975588307701</v>
      </c>
      <c r="P227" s="4">
        <f>O227/100</f>
        <v>-3.0285975588307701E-2</v>
      </c>
      <c r="Q227" s="5">
        <f>S226</f>
        <v>6133.3592730411219</v>
      </c>
      <c r="R227" s="5">
        <f>Q227*P227*$T$1</f>
        <v>-278.63215382646615</v>
      </c>
      <c r="S227" s="5">
        <f>R227+Q227</f>
        <v>5854.7271192146554</v>
      </c>
      <c r="T227" s="5"/>
      <c r="U227" s="4"/>
      <c r="V227" s="13"/>
      <c r="W227" s="13"/>
      <c r="X227" s="13" t="s">
        <v>571</v>
      </c>
      <c r="Y227" s="13" t="s">
        <v>63</v>
      </c>
      <c r="Z227" s="13" t="s">
        <v>570</v>
      </c>
      <c r="AA227" s="13" t="s">
        <v>561</v>
      </c>
      <c r="AB227" s="12">
        <v>45931</v>
      </c>
    </row>
    <row r="228" spans="1:28" x14ac:dyDescent="0.3">
      <c r="A228" s="11">
        <v>227</v>
      </c>
      <c r="B228" s="9" t="s">
        <v>22</v>
      </c>
      <c r="C228" s="10">
        <v>45961.510416666664</v>
      </c>
      <c r="D228" s="10">
        <v>45961.770833333336</v>
      </c>
      <c r="E228" s="10">
        <v>45962.375</v>
      </c>
      <c r="F228" s="9" t="s">
        <v>569</v>
      </c>
      <c r="G228" s="9" t="s">
        <v>568</v>
      </c>
      <c r="H228" s="9" t="s">
        <v>566</v>
      </c>
      <c r="I228" s="9" t="s">
        <v>567</v>
      </c>
      <c r="J228" s="9" t="s">
        <v>567</v>
      </c>
      <c r="K228" s="9" t="s">
        <v>566</v>
      </c>
      <c r="L228" s="9" t="s">
        <v>565</v>
      </c>
      <c r="M228" s="9" t="s">
        <v>564</v>
      </c>
      <c r="N228" s="9" t="s">
        <v>563</v>
      </c>
      <c r="O228" s="9">
        <v>-2.19758053524798</v>
      </c>
      <c r="P228" s="4">
        <f>O228/100</f>
        <v>-2.19758053524798E-2</v>
      </c>
      <c r="Q228" s="5">
        <f>S227</f>
        <v>5854.7271192146554</v>
      </c>
      <c r="R228" s="5">
        <f>Q228*P228*$T$1</f>
        <v>-192.99351534561913</v>
      </c>
      <c r="S228" s="5">
        <f>R228+Q228</f>
        <v>5661.7336038690364</v>
      </c>
      <c r="T228" s="5"/>
      <c r="U228" s="4"/>
      <c r="V228" s="9"/>
      <c r="W228" s="9"/>
      <c r="X228" s="9" t="s">
        <v>562</v>
      </c>
      <c r="Y228" s="9" t="s">
        <v>63</v>
      </c>
      <c r="Z228" s="9" t="s">
        <v>561</v>
      </c>
      <c r="AA228" s="9" t="s">
        <v>534</v>
      </c>
      <c r="AB228" s="8">
        <v>45931</v>
      </c>
    </row>
    <row r="229" spans="1:28" x14ac:dyDescent="0.3">
      <c r="A229" s="15">
        <v>228</v>
      </c>
      <c r="B229" s="13" t="s">
        <v>42</v>
      </c>
      <c r="C229" s="14">
        <v>45962.552083333336</v>
      </c>
      <c r="D229" s="14">
        <v>45962.583333333336</v>
      </c>
      <c r="E229" s="14">
        <v>45962.697916666664</v>
      </c>
      <c r="F229" s="13" t="s">
        <v>560</v>
      </c>
      <c r="G229" s="13" t="s">
        <v>559</v>
      </c>
      <c r="H229" s="13" t="s">
        <v>557</v>
      </c>
      <c r="I229" s="13" t="s">
        <v>558</v>
      </c>
      <c r="J229" s="13" t="s">
        <v>558</v>
      </c>
      <c r="K229" s="13" t="s">
        <v>557</v>
      </c>
      <c r="L229" s="13" t="s">
        <v>556</v>
      </c>
      <c r="M229" s="13" t="s">
        <v>555</v>
      </c>
      <c r="N229" s="13" t="s">
        <v>554</v>
      </c>
      <c r="O229" s="13">
        <v>-1.1183322079675799</v>
      </c>
      <c r="P229" s="4">
        <f>O229/100</f>
        <v>-1.11833220796758E-2</v>
      </c>
      <c r="Q229" s="5">
        <f>S228</f>
        <v>5661.7336038690364</v>
      </c>
      <c r="R229" s="5">
        <f>Q229*P229*$T$1</f>
        <v>-94.975485632086546</v>
      </c>
      <c r="S229" s="5">
        <f>R229+Q229</f>
        <v>5566.7581182369495</v>
      </c>
      <c r="T229" s="5"/>
      <c r="U229" s="4"/>
      <c r="V229" s="13"/>
      <c r="W229" s="13"/>
      <c r="X229" s="13" t="s">
        <v>553</v>
      </c>
      <c r="Y229" s="13" t="s">
        <v>63</v>
      </c>
      <c r="Z229" s="13" t="s">
        <v>552</v>
      </c>
      <c r="AA229" s="13" t="s">
        <v>516</v>
      </c>
      <c r="AB229" s="12">
        <v>45962</v>
      </c>
    </row>
    <row r="230" spans="1:28" x14ac:dyDescent="0.3">
      <c r="A230" s="11">
        <v>229</v>
      </c>
      <c r="B230" s="9" t="s">
        <v>11</v>
      </c>
      <c r="C230" s="10">
        <v>45961.052083333336</v>
      </c>
      <c r="D230" s="10">
        <v>45963.677083333336</v>
      </c>
      <c r="E230" s="10">
        <v>45964.28125</v>
      </c>
      <c r="F230" s="9" t="s">
        <v>551</v>
      </c>
      <c r="G230" s="9" t="s">
        <v>550</v>
      </c>
      <c r="H230" s="9" t="s">
        <v>548</v>
      </c>
      <c r="I230" s="9" t="s">
        <v>549</v>
      </c>
      <c r="J230" s="9" t="s">
        <v>549</v>
      </c>
      <c r="K230" s="9" t="s">
        <v>548</v>
      </c>
      <c r="L230" s="9" t="s">
        <v>547</v>
      </c>
      <c r="M230" s="9" t="s">
        <v>546</v>
      </c>
      <c r="N230" s="9" t="s">
        <v>545</v>
      </c>
      <c r="O230" s="9">
        <v>6</v>
      </c>
      <c r="P230" s="4">
        <f>O230/100</f>
        <v>0.06</v>
      </c>
      <c r="Q230" s="5">
        <f>S229</f>
        <v>5566.7581182369495</v>
      </c>
      <c r="R230" s="5">
        <f>Q230*P230*$T$1</f>
        <v>501.00823064132544</v>
      </c>
      <c r="S230" s="5">
        <f>R230+Q230</f>
        <v>6067.7663488782746</v>
      </c>
      <c r="T230" s="5"/>
      <c r="U230" s="4"/>
      <c r="V230" s="9"/>
      <c r="W230" s="9"/>
      <c r="X230" s="9" t="s">
        <v>544</v>
      </c>
      <c r="Y230" s="9" t="s">
        <v>2</v>
      </c>
      <c r="Z230" s="9" t="s">
        <v>543</v>
      </c>
      <c r="AA230" s="9" t="s">
        <v>507</v>
      </c>
      <c r="AB230" s="8">
        <v>45962</v>
      </c>
    </row>
    <row r="231" spans="1:28" x14ac:dyDescent="0.3">
      <c r="A231" s="15">
        <v>230</v>
      </c>
      <c r="B231" s="13" t="s">
        <v>22</v>
      </c>
      <c r="C231" s="14">
        <v>45964</v>
      </c>
      <c r="D231" s="14">
        <v>45964.0625</v>
      </c>
      <c r="E231" s="14">
        <v>45964.177083333336</v>
      </c>
      <c r="F231" s="13" t="s">
        <v>542</v>
      </c>
      <c r="G231" s="13" t="s">
        <v>541</v>
      </c>
      <c r="H231" s="13" t="s">
        <v>539</v>
      </c>
      <c r="I231" s="13" t="s">
        <v>540</v>
      </c>
      <c r="J231" s="13" t="s">
        <v>540</v>
      </c>
      <c r="K231" s="13" t="s">
        <v>539</v>
      </c>
      <c r="L231" s="13" t="s">
        <v>538</v>
      </c>
      <c r="M231" s="13" t="s">
        <v>537</v>
      </c>
      <c r="N231" s="13" t="s">
        <v>536</v>
      </c>
      <c r="O231" s="13">
        <v>8</v>
      </c>
      <c r="P231" s="4">
        <f>O231/100</f>
        <v>0.08</v>
      </c>
      <c r="Q231" s="5">
        <f>S230</f>
        <v>6067.7663488782746</v>
      </c>
      <c r="R231" s="5">
        <f>Q231*P231*$T$1</f>
        <v>728.13196186539301</v>
      </c>
      <c r="S231" s="5">
        <f>R231+Q231</f>
        <v>6795.8983107436679</v>
      </c>
      <c r="T231" s="5"/>
      <c r="U231" s="4"/>
      <c r="V231" s="13"/>
      <c r="W231" s="13"/>
      <c r="X231" s="13" t="s">
        <v>535</v>
      </c>
      <c r="Y231" s="13" t="s">
        <v>2</v>
      </c>
      <c r="Z231" s="13" t="s">
        <v>534</v>
      </c>
      <c r="AA231" s="13" t="s">
        <v>525</v>
      </c>
      <c r="AB231" s="12">
        <v>45962</v>
      </c>
    </row>
    <row r="232" spans="1:28" x14ac:dyDescent="0.3">
      <c r="A232" s="11">
        <v>231</v>
      </c>
      <c r="B232" s="9" t="s">
        <v>22</v>
      </c>
      <c r="C232" s="10">
        <v>45966.697916666664</v>
      </c>
      <c r="D232" s="10">
        <v>45966.90625</v>
      </c>
      <c r="E232" s="10">
        <v>45968.677083333336</v>
      </c>
      <c r="F232" s="9" t="s">
        <v>533</v>
      </c>
      <c r="G232" s="9" t="s">
        <v>532</v>
      </c>
      <c r="H232" s="9" t="s">
        <v>530</v>
      </c>
      <c r="I232" s="9" t="s">
        <v>531</v>
      </c>
      <c r="J232" s="9" t="s">
        <v>531</v>
      </c>
      <c r="K232" s="9" t="s">
        <v>530</v>
      </c>
      <c r="L232" s="9" t="s">
        <v>529</v>
      </c>
      <c r="M232" s="9" t="s">
        <v>528</v>
      </c>
      <c r="N232" s="9" t="s">
        <v>527</v>
      </c>
      <c r="O232" s="9">
        <v>-2.4677382839030999</v>
      </c>
      <c r="P232" s="4">
        <f>O232/100</f>
        <v>-2.4677382839030999E-2</v>
      </c>
      <c r="Q232" s="5">
        <f>S231</f>
        <v>6795.8983107436679</v>
      </c>
      <c r="R232" s="5">
        <f>Q232*P232*$T$1</f>
        <v>-251.55747652401834</v>
      </c>
      <c r="S232" s="5">
        <f>R232+Q232</f>
        <v>6544.3408342196499</v>
      </c>
      <c r="T232" s="5"/>
      <c r="U232" s="4"/>
      <c r="V232" s="9"/>
      <c r="W232" s="9"/>
      <c r="X232" s="9" t="s">
        <v>526</v>
      </c>
      <c r="Y232" s="9" t="s">
        <v>63</v>
      </c>
      <c r="Z232" s="9" t="s">
        <v>525</v>
      </c>
      <c r="AA232" s="9" t="s">
        <v>498</v>
      </c>
      <c r="AB232" s="8">
        <v>45962</v>
      </c>
    </row>
    <row r="233" spans="1:28" x14ac:dyDescent="0.3">
      <c r="A233" s="15">
        <v>232</v>
      </c>
      <c r="B233" s="13" t="s">
        <v>42</v>
      </c>
      <c r="C233" s="14">
        <v>45968.333333333336</v>
      </c>
      <c r="D233" s="14">
        <v>45968.40625</v>
      </c>
      <c r="E233" s="14">
        <v>45968.625</v>
      </c>
      <c r="F233" s="13" t="s">
        <v>524</v>
      </c>
      <c r="G233" s="13" t="s">
        <v>523</v>
      </c>
      <c r="H233" s="13" t="s">
        <v>521</v>
      </c>
      <c r="I233" s="13" t="s">
        <v>522</v>
      </c>
      <c r="J233" s="13" t="s">
        <v>522</v>
      </c>
      <c r="K233" s="13" t="s">
        <v>521</v>
      </c>
      <c r="L233" s="13" t="s">
        <v>520</v>
      </c>
      <c r="M233" s="13" t="s">
        <v>519</v>
      </c>
      <c r="N233" s="13" t="s">
        <v>518</v>
      </c>
      <c r="O233" s="13">
        <v>-1.7926816408309501</v>
      </c>
      <c r="P233" s="4">
        <f>O233/100</f>
        <v>-1.7926816408309499E-2</v>
      </c>
      <c r="Q233" s="5">
        <f>S232</f>
        <v>6544.3408342196499</v>
      </c>
      <c r="R233" s="5">
        <f>Q233*P233*$T$1</f>
        <v>-175.97879497268804</v>
      </c>
      <c r="S233" s="5">
        <f>R233+Q233</f>
        <v>6368.362039246962</v>
      </c>
      <c r="T233" s="5"/>
      <c r="U233" s="4"/>
      <c r="V233" s="13"/>
      <c r="W233" s="13"/>
      <c r="X233" s="13" t="s">
        <v>517</v>
      </c>
      <c r="Y233" s="13" t="s">
        <v>63</v>
      </c>
      <c r="Z233" s="13" t="s">
        <v>516</v>
      </c>
      <c r="AA233" s="13" t="s">
        <v>489</v>
      </c>
      <c r="AB233" s="12">
        <v>45962</v>
      </c>
    </row>
    <row r="234" spans="1:28" x14ac:dyDescent="0.3">
      <c r="A234" s="11">
        <v>233</v>
      </c>
      <c r="B234" s="9" t="s">
        <v>11</v>
      </c>
      <c r="C234" s="10">
        <v>45968.895833333336</v>
      </c>
      <c r="D234" s="10">
        <v>45968.958333333336</v>
      </c>
      <c r="E234" s="10">
        <v>45969.072916666664</v>
      </c>
      <c r="F234" s="9" t="s">
        <v>515</v>
      </c>
      <c r="G234" s="9" t="s">
        <v>514</v>
      </c>
      <c r="H234" s="9" t="s">
        <v>512</v>
      </c>
      <c r="I234" s="9" t="s">
        <v>513</v>
      </c>
      <c r="J234" s="9" t="s">
        <v>513</v>
      </c>
      <c r="K234" s="9" t="s">
        <v>512</v>
      </c>
      <c r="L234" s="9" t="s">
        <v>511</v>
      </c>
      <c r="M234" s="9" t="s">
        <v>510</v>
      </c>
      <c r="N234" s="9" t="s">
        <v>509</v>
      </c>
      <c r="O234" s="9">
        <v>-0.93500620924313205</v>
      </c>
      <c r="P234" s="4">
        <f>O234/100</f>
        <v>-9.3500620924313205E-3</v>
      </c>
      <c r="Q234" s="5">
        <f>S233</f>
        <v>6368.362039246962</v>
      </c>
      <c r="R234" s="5">
        <f>Q234*P234*$T$1</f>
        <v>-89.316870741062459</v>
      </c>
      <c r="S234" s="5">
        <f>R234+Q234</f>
        <v>6279.0451685058997</v>
      </c>
      <c r="T234" s="5"/>
      <c r="U234" s="4"/>
      <c r="V234" s="9"/>
      <c r="W234" s="9"/>
      <c r="X234" s="9" t="s">
        <v>508</v>
      </c>
      <c r="Y234" s="9" t="s">
        <v>63</v>
      </c>
      <c r="Z234" s="9" t="s">
        <v>507</v>
      </c>
      <c r="AA234" s="9" t="s">
        <v>453</v>
      </c>
      <c r="AB234" s="8">
        <v>45962</v>
      </c>
    </row>
    <row r="235" spans="1:28" x14ac:dyDescent="0.3">
      <c r="A235" s="15">
        <v>234</v>
      </c>
      <c r="B235" s="13" t="s">
        <v>22</v>
      </c>
      <c r="C235" s="14">
        <v>45968.947916666664</v>
      </c>
      <c r="D235" s="14">
        <v>45968.958333333336</v>
      </c>
      <c r="E235" s="14">
        <v>45969.583333333336</v>
      </c>
      <c r="F235" s="13" t="s">
        <v>506</v>
      </c>
      <c r="G235" s="13" t="s">
        <v>505</v>
      </c>
      <c r="H235" s="13" t="s">
        <v>503</v>
      </c>
      <c r="I235" s="13" t="s">
        <v>504</v>
      </c>
      <c r="J235" s="13" t="s">
        <v>504</v>
      </c>
      <c r="K235" s="13" t="s">
        <v>503</v>
      </c>
      <c r="L235" s="13" t="s">
        <v>502</v>
      </c>
      <c r="M235" s="13" t="s">
        <v>501</v>
      </c>
      <c r="N235" s="13" t="s">
        <v>500</v>
      </c>
      <c r="O235" s="13">
        <v>8</v>
      </c>
      <c r="P235" s="4">
        <f>O235/100</f>
        <v>0.08</v>
      </c>
      <c r="Q235" s="5">
        <f>S234</f>
        <v>6279.0451685058997</v>
      </c>
      <c r="R235" s="5">
        <f>Q235*P235*$T$1</f>
        <v>753.48542022070797</v>
      </c>
      <c r="S235" s="5">
        <f>R235+Q235</f>
        <v>7032.5305887266077</v>
      </c>
      <c r="T235" s="5"/>
      <c r="U235" s="4"/>
      <c r="V235" s="13"/>
      <c r="W235" s="13"/>
      <c r="X235" s="13" t="s">
        <v>499</v>
      </c>
      <c r="Y235" s="13" t="s">
        <v>2</v>
      </c>
      <c r="Z235" s="13" t="s">
        <v>498</v>
      </c>
      <c r="AA235" s="13" t="s">
        <v>426</v>
      </c>
      <c r="AB235" s="12">
        <v>45962</v>
      </c>
    </row>
    <row r="236" spans="1:28" x14ac:dyDescent="0.3">
      <c r="A236" s="11">
        <v>235</v>
      </c>
      <c r="B236" s="9" t="s">
        <v>42</v>
      </c>
      <c r="C236" s="10">
        <v>45970.083333333336</v>
      </c>
      <c r="D236" s="10">
        <v>45970.114583333336</v>
      </c>
      <c r="E236" s="10">
        <v>45970.5625</v>
      </c>
      <c r="F236" s="9" t="s">
        <v>497</v>
      </c>
      <c r="G236" s="9" t="s">
        <v>496</v>
      </c>
      <c r="H236" s="9" t="s">
        <v>494</v>
      </c>
      <c r="I236" s="9" t="s">
        <v>495</v>
      </c>
      <c r="J236" s="9" t="s">
        <v>495</v>
      </c>
      <c r="K236" s="9" t="s">
        <v>494</v>
      </c>
      <c r="L236" s="9" t="s">
        <v>493</v>
      </c>
      <c r="M236" s="9" t="s">
        <v>492</v>
      </c>
      <c r="N236" s="9" t="s">
        <v>491</v>
      </c>
      <c r="O236" s="9">
        <v>-4.5569194551874901</v>
      </c>
      <c r="P236" s="4">
        <f>O236/100</f>
        <v>-4.55691945518749E-2</v>
      </c>
      <c r="Q236" s="5">
        <f>S235</f>
        <v>7032.5305887266077</v>
      </c>
      <c r="R236" s="5">
        <f>Q236*P236*$T$1</f>
        <v>-480.70013188454118</v>
      </c>
      <c r="S236" s="5">
        <f>R236+Q236</f>
        <v>6551.8304568420663</v>
      </c>
      <c r="T236" s="5"/>
      <c r="U236" s="4"/>
      <c r="V236" s="9"/>
      <c r="W236" s="9"/>
      <c r="X236" s="9" t="s">
        <v>490</v>
      </c>
      <c r="Y236" s="9" t="s">
        <v>63</v>
      </c>
      <c r="Z236" s="9" t="s">
        <v>489</v>
      </c>
      <c r="AA236" s="9" t="s">
        <v>462</v>
      </c>
      <c r="AB236" s="8">
        <v>45962</v>
      </c>
    </row>
    <row r="237" spans="1:28" x14ac:dyDescent="0.3">
      <c r="A237" s="15">
        <v>236</v>
      </c>
      <c r="B237" s="13" t="s">
        <v>108</v>
      </c>
      <c r="C237" s="14">
        <v>45970.677083333336</v>
      </c>
      <c r="D237" s="14">
        <v>45970.791666666664</v>
      </c>
      <c r="E237" s="14">
        <v>45971.177083333336</v>
      </c>
      <c r="F237" s="13" t="s">
        <v>488</v>
      </c>
      <c r="G237" s="13" t="s">
        <v>487</v>
      </c>
      <c r="H237" s="13" t="s">
        <v>485</v>
      </c>
      <c r="I237" s="13" t="s">
        <v>486</v>
      </c>
      <c r="J237" s="13" t="s">
        <v>486</v>
      </c>
      <c r="K237" s="13" t="s">
        <v>485</v>
      </c>
      <c r="L237" s="13" t="s">
        <v>484</v>
      </c>
      <c r="M237" s="13" t="s">
        <v>483</v>
      </c>
      <c r="N237" s="13" t="s">
        <v>482</v>
      </c>
      <c r="O237" s="13">
        <v>-2.0546259842519601</v>
      </c>
      <c r="P237" s="4">
        <f>O237/100</f>
        <v>-2.05462598425196E-2</v>
      </c>
      <c r="Q237" s="5">
        <f>S236</f>
        <v>6551.8304568420663</v>
      </c>
      <c r="R237" s="5">
        <f>Q237*P237*$T$1</f>
        <v>-201.92341651561648</v>
      </c>
      <c r="S237" s="5">
        <f>R237+Q237</f>
        <v>6349.9070403264495</v>
      </c>
      <c r="T237" s="5"/>
      <c r="U237" s="4"/>
      <c r="V237" s="13"/>
      <c r="W237" s="13"/>
      <c r="X237" s="13" t="s">
        <v>481</v>
      </c>
      <c r="Y237" s="13" t="s">
        <v>63</v>
      </c>
      <c r="Z237" s="13" t="s">
        <v>480</v>
      </c>
      <c r="AA237" s="13" t="s">
        <v>471</v>
      </c>
      <c r="AB237" s="12">
        <v>45962</v>
      </c>
    </row>
    <row r="238" spans="1:28" x14ac:dyDescent="0.3">
      <c r="A238" s="11">
        <v>237</v>
      </c>
      <c r="B238" s="9" t="s">
        <v>108</v>
      </c>
      <c r="C238" s="10">
        <v>45971.885416666664</v>
      </c>
      <c r="D238" s="10">
        <v>45971.895833333336</v>
      </c>
      <c r="E238" s="10">
        <v>45971.90625</v>
      </c>
      <c r="F238" s="9" t="s">
        <v>479</v>
      </c>
      <c r="G238" s="9" t="s">
        <v>478</v>
      </c>
      <c r="H238" s="9" t="s">
        <v>476</v>
      </c>
      <c r="I238" s="9" t="s">
        <v>477</v>
      </c>
      <c r="J238" s="9" t="s">
        <v>477</v>
      </c>
      <c r="K238" s="9" t="s">
        <v>476</v>
      </c>
      <c r="L238" s="9" t="s">
        <v>475</v>
      </c>
      <c r="M238" s="9" t="s">
        <v>474</v>
      </c>
      <c r="N238" s="9" t="s">
        <v>473</v>
      </c>
      <c r="O238" s="9">
        <v>10</v>
      </c>
      <c r="P238" s="4">
        <f>O238/100</f>
        <v>0.1</v>
      </c>
      <c r="Q238" s="5">
        <f>S237</f>
        <v>6349.9070403264495</v>
      </c>
      <c r="R238" s="5">
        <f>Q238*P238*$T$1</f>
        <v>952.4860560489675</v>
      </c>
      <c r="S238" s="5">
        <f>R238+Q238</f>
        <v>7302.3930963754174</v>
      </c>
      <c r="T238" s="5"/>
      <c r="U238" s="4"/>
      <c r="V238" s="9"/>
      <c r="W238" s="9"/>
      <c r="X238" s="9" t="s">
        <v>472</v>
      </c>
      <c r="Y238" s="9" t="s">
        <v>2</v>
      </c>
      <c r="Z238" s="9" t="s">
        <v>471</v>
      </c>
      <c r="AA238" s="9" t="s">
        <v>417</v>
      </c>
      <c r="AB238" s="8">
        <v>45962</v>
      </c>
    </row>
    <row r="239" spans="1:28" x14ac:dyDescent="0.3">
      <c r="A239" s="15">
        <v>238</v>
      </c>
      <c r="B239" s="13" t="s">
        <v>42</v>
      </c>
      <c r="C239" s="14">
        <v>45970.854166666664</v>
      </c>
      <c r="D239" s="14">
        <v>45972.25</v>
      </c>
      <c r="E239" s="14">
        <v>45972.895833333336</v>
      </c>
      <c r="F239" s="13" t="s">
        <v>470</v>
      </c>
      <c r="G239" s="13" t="s">
        <v>469</v>
      </c>
      <c r="H239" s="13" t="s">
        <v>467</v>
      </c>
      <c r="I239" s="13" t="s">
        <v>468</v>
      </c>
      <c r="J239" s="13" t="s">
        <v>468</v>
      </c>
      <c r="K239" s="13" t="s">
        <v>467</v>
      </c>
      <c r="L239" s="13" t="s">
        <v>466</v>
      </c>
      <c r="M239" s="13" t="s">
        <v>465</v>
      </c>
      <c r="N239" s="13" t="s">
        <v>464</v>
      </c>
      <c r="O239" s="13">
        <v>8</v>
      </c>
      <c r="P239" s="4">
        <f>O239/100</f>
        <v>0.08</v>
      </c>
      <c r="Q239" s="5">
        <f>S238</f>
        <v>7302.3930963754174</v>
      </c>
      <c r="R239" s="5">
        <f>Q239*P239*$T$1</f>
        <v>876.28717156505013</v>
      </c>
      <c r="S239" s="5">
        <f>R239+Q239</f>
        <v>8178.6802679404673</v>
      </c>
      <c r="T239" s="5"/>
      <c r="U239" s="4"/>
      <c r="V239" s="13"/>
      <c r="W239" s="13"/>
      <c r="X239" s="13" t="s">
        <v>463</v>
      </c>
      <c r="Y239" s="13" t="s">
        <v>2</v>
      </c>
      <c r="Z239" s="13" t="s">
        <v>462</v>
      </c>
      <c r="AA239" s="13" t="s">
        <v>444</v>
      </c>
      <c r="AB239" s="12">
        <v>45962</v>
      </c>
    </row>
    <row r="240" spans="1:28" x14ac:dyDescent="0.3">
      <c r="A240" s="11">
        <v>239</v>
      </c>
      <c r="B240" s="9" t="s">
        <v>11</v>
      </c>
      <c r="C240" s="10">
        <v>45970.59375</v>
      </c>
      <c r="D240" s="10">
        <v>45972.729166666664</v>
      </c>
      <c r="E240" s="10">
        <v>45974.75</v>
      </c>
      <c r="F240" s="9" t="s">
        <v>461</v>
      </c>
      <c r="G240" s="9" t="s">
        <v>460</v>
      </c>
      <c r="H240" s="9" t="s">
        <v>458</v>
      </c>
      <c r="I240" s="9" t="s">
        <v>459</v>
      </c>
      <c r="J240" s="9" t="s">
        <v>459</v>
      </c>
      <c r="K240" s="9" t="s">
        <v>458</v>
      </c>
      <c r="L240" s="9" t="s">
        <v>457</v>
      </c>
      <c r="M240" s="9" t="s">
        <v>456</v>
      </c>
      <c r="N240" s="9" t="s">
        <v>455</v>
      </c>
      <c r="O240" s="9">
        <v>6</v>
      </c>
      <c r="P240" s="4">
        <f>O240/100</f>
        <v>0.06</v>
      </c>
      <c r="Q240" s="5">
        <f>S239</f>
        <v>8178.6802679404673</v>
      </c>
      <c r="R240" s="5">
        <f>Q240*P240*$T$1</f>
        <v>736.08122411464205</v>
      </c>
      <c r="S240" s="5">
        <f>R240+Q240</f>
        <v>8914.7614920551096</v>
      </c>
      <c r="T240" s="5"/>
      <c r="U240" s="4"/>
      <c r="V240" s="9"/>
      <c r="W240" s="9"/>
      <c r="X240" s="9" t="s">
        <v>454</v>
      </c>
      <c r="Y240" s="9" t="s">
        <v>2</v>
      </c>
      <c r="Z240" s="9" t="s">
        <v>453</v>
      </c>
      <c r="AA240" s="9" t="s">
        <v>435</v>
      </c>
      <c r="AB240" s="8">
        <v>45962</v>
      </c>
    </row>
    <row r="241" spans="1:28" x14ac:dyDescent="0.3">
      <c r="A241" s="15">
        <v>240</v>
      </c>
      <c r="B241" s="13" t="s">
        <v>42</v>
      </c>
      <c r="C241" s="14">
        <v>45973.416666666664</v>
      </c>
      <c r="D241" s="14">
        <v>45973.614583333336</v>
      </c>
      <c r="E241" s="14">
        <v>45973.666666666664</v>
      </c>
      <c r="F241" s="13" t="s">
        <v>452</v>
      </c>
      <c r="G241" s="13" t="s">
        <v>451</v>
      </c>
      <c r="H241" s="13" t="s">
        <v>449</v>
      </c>
      <c r="I241" s="13" t="s">
        <v>450</v>
      </c>
      <c r="J241" s="13" t="s">
        <v>450</v>
      </c>
      <c r="K241" s="13" t="s">
        <v>449</v>
      </c>
      <c r="L241" s="13" t="s">
        <v>448</v>
      </c>
      <c r="M241" s="13" t="s">
        <v>447</v>
      </c>
      <c r="N241" s="13" t="s">
        <v>446</v>
      </c>
      <c r="O241" s="13">
        <v>8</v>
      </c>
      <c r="P241" s="4">
        <f>O241/100</f>
        <v>0.08</v>
      </c>
      <c r="Q241" s="5">
        <f>S240</f>
        <v>8914.7614920551096</v>
      </c>
      <c r="R241" s="5">
        <f>Q241*P241*$T$1</f>
        <v>1069.7713790466132</v>
      </c>
      <c r="S241" s="5">
        <f>R241+Q241</f>
        <v>9984.5328711017228</v>
      </c>
      <c r="T241" s="5"/>
      <c r="U241" s="4"/>
      <c r="V241" s="13"/>
      <c r="W241" s="13"/>
      <c r="X241" s="13" t="s">
        <v>445</v>
      </c>
      <c r="Y241" s="13" t="s">
        <v>2</v>
      </c>
      <c r="Z241" s="13" t="s">
        <v>444</v>
      </c>
      <c r="AA241" s="13" t="s">
        <v>390</v>
      </c>
      <c r="AB241" s="12">
        <v>45962</v>
      </c>
    </row>
    <row r="242" spans="1:28" x14ac:dyDescent="0.3">
      <c r="A242" s="11">
        <v>241</v>
      </c>
      <c r="B242" s="9" t="s">
        <v>11</v>
      </c>
      <c r="C242" s="10">
        <v>45973.583333333336</v>
      </c>
      <c r="D242" s="10">
        <v>45973.614583333336</v>
      </c>
      <c r="E242" s="10">
        <v>45974.739583333336</v>
      </c>
      <c r="F242" s="9" t="s">
        <v>443</v>
      </c>
      <c r="G242" s="9" t="s">
        <v>442</v>
      </c>
      <c r="H242" s="9" t="s">
        <v>440</v>
      </c>
      <c r="I242" s="9" t="s">
        <v>441</v>
      </c>
      <c r="J242" s="9" t="s">
        <v>441</v>
      </c>
      <c r="K242" s="9" t="s">
        <v>440</v>
      </c>
      <c r="L242" s="9" t="s">
        <v>439</v>
      </c>
      <c r="M242" s="9" t="s">
        <v>438</v>
      </c>
      <c r="N242" s="9" t="s">
        <v>437</v>
      </c>
      <c r="O242" s="9">
        <v>6</v>
      </c>
      <c r="P242" s="4">
        <f>O242/100</f>
        <v>0.06</v>
      </c>
      <c r="Q242" s="5">
        <f>S241</f>
        <v>9984.5328711017228</v>
      </c>
      <c r="R242" s="5">
        <f>Q242*P242*$T$1</f>
        <v>898.607958399155</v>
      </c>
      <c r="S242" s="5">
        <f>R242+Q242</f>
        <v>10883.140829500877</v>
      </c>
      <c r="T242" s="5"/>
      <c r="U242" s="4"/>
      <c r="V242" s="9"/>
      <c r="W242" s="9"/>
      <c r="X242" s="9" t="s">
        <v>436</v>
      </c>
      <c r="Y242" s="9" t="s">
        <v>2</v>
      </c>
      <c r="Z242" s="9" t="s">
        <v>435</v>
      </c>
      <c r="AA242" s="9" t="s">
        <v>363</v>
      </c>
      <c r="AB242" s="8">
        <v>45962</v>
      </c>
    </row>
    <row r="243" spans="1:28" x14ac:dyDescent="0.3">
      <c r="A243" s="15">
        <v>242</v>
      </c>
      <c r="B243" s="13" t="s">
        <v>22</v>
      </c>
      <c r="C243" s="14">
        <v>45973.59375</v>
      </c>
      <c r="D243" s="14">
        <v>45973.614583333336</v>
      </c>
      <c r="E243" s="14">
        <v>45973.635416666664</v>
      </c>
      <c r="F243" s="13" t="s">
        <v>434</v>
      </c>
      <c r="G243" s="13" t="s">
        <v>433</v>
      </c>
      <c r="H243" s="13" t="s">
        <v>431</v>
      </c>
      <c r="I243" s="13" t="s">
        <v>432</v>
      </c>
      <c r="J243" s="13" t="s">
        <v>432</v>
      </c>
      <c r="K243" s="13" t="s">
        <v>431</v>
      </c>
      <c r="L243" s="13" t="s">
        <v>430</v>
      </c>
      <c r="M243" s="13" t="s">
        <v>429</v>
      </c>
      <c r="N243" s="13" t="s">
        <v>428</v>
      </c>
      <c r="O243" s="13">
        <v>-1.6519617045241199</v>
      </c>
      <c r="P243" s="4">
        <f>O243/100</f>
        <v>-1.65196170452412E-2</v>
      </c>
      <c r="Q243" s="5">
        <f>S242</f>
        <v>10883.140829500877</v>
      </c>
      <c r="R243" s="5">
        <f>Q243*P243*$T$1</f>
        <v>-269.67797812917468</v>
      </c>
      <c r="S243" s="5">
        <f>R243+Q243</f>
        <v>10613.462851371702</v>
      </c>
      <c r="T243" s="5"/>
      <c r="U243" s="4"/>
      <c r="V243" s="13"/>
      <c r="W243" s="13"/>
      <c r="X243" s="13" t="s">
        <v>427</v>
      </c>
      <c r="Y243" s="13" t="s">
        <v>63</v>
      </c>
      <c r="Z243" s="13" t="s">
        <v>426</v>
      </c>
      <c r="AA243" s="13" t="s">
        <v>309</v>
      </c>
      <c r="AB243" s="12">
        <v>45962</v>
      </c>
    </row>
    <row r="244" spans="1:28" x14ac:dyDescent="0.3">
      <c r="A244" s="11">
        <v>243</v>
      </c>
      <c r="B244" s="9" t="s">
        <v>108</v>
      </c>
      <c r="C244" s="10">
        <v>45973.666666666664</v>
      </c>
      <c r="D244" s="10">
        <v>45973.677083333336</v>
      </c>
      <c r="E244" s="10">
        <v>45973.708333333336</v>
      </c>
      <c r="F244" s="9" t="s">
        <v>425</v>
      </c>
      <c r="G244" s="9" t="s">
        <v>424</v>
      </c>
      <c r="H244" s="9" t="s">
        <v>422</v>
      </c>
      <c r="I244" s="9" t="s">
        <v>423</v>
      </c>
      <c r="J244" s="9" t="s">
        <v>423</v>
      </c>
      <c r="K244" s="9" t="s">
        <v>422</v>
      </c>
      <c r="L244" s="9" t="s">
        <v>421</v>
      </c>
      <c r="M244" s="9" t="s">
        <v>420</v>
      </c>
      <c r="N244" s="9" t="s">
        <v>419</v>
      </c>
      <c r="O244" s="9">
        <v>-6.10473003527175</v>
      </c>
      <c r="P244" s="4">
        <f>O244/100</f>
        <v>-6.10473003527175E-2</v>
      </c>
      <c r="Q244" s="5">
        <f>S243</f>
        <v>10613.462851371702</v>
      </c>
      <c r="R244" s="5">
        <f>Q244*P244*$T$1</f>
        <v>-971.88488170514665</v>
      </c>
      <c r="S244" s="5">
        <f>R244+Q244</f>
        <v>9641.5779696665559</v>
      </c>
      <c r="T244" s="5"/>
      <c r="U244" s="4"/>
      <c r="V244" s="9"/>
      <c r="W244" s="9"/>
      <c r="X244" s="9" t="s">
        <v>418</v>
      </c>
      <c r="Y244" s="9" t="s">
        <v>63</v>
      </c>
      <c r="Z244" s="9" t="s">
        <v>417</v>
      </c>
      <c r="AA244" s="9" t="s">
        <v>408</v>
      </c>
      <c r="AB244" s="8">
        <v>45962</v>
      </c>
    </row>
    <row r="245" spans="1:28" x14ac:dyDescent="0.3">
      <c r="A245" s="15">
        <v>244</v>
      </c>
      <c r="B245" s="13" t="s">
        <v>108</v>
      </c>
      <c r="C245" s="14">
        <v>45975.833333333336</v>
      </c>
      <c r="D245" s="14">
        <v>45975.927083333336</v>
      </c>
      <c r="E245" s="14">
        <v>45978.572916666664</v>
      </c>
      <c r="F245" s="13" t="s">
        <v>416</v>
      </c>
      <c r="G245" s="13" t="s">
        <v>415</v>
      </c>
      <c r="H245" s="13" t="s">
        <v>413</v>
      </c>
      <c r="I245" s="13" t="s">
        <v>414</v>
      </c>
      <c r="J245" s="13" t="s">
        <v>414</v>
      </c>
      <c r="K245" s="13" t="s">
        <v>413</v>
      </c>
      <c r="L245" s="13" t="s">
        <v>412</v>
      </c>
      <c r="M245" s="13" t="s">
        <v>411</v>
      </c>
      <c r="N245" s="13" t="s">
        <v>410</v>
      </c>
      <c r="O245" s="13">
        <v>10</v>
      </c>
      <c r="P245" s="4">
        <f>O245/100</f>
        <v>0.1</v>
      </c>
      <c r="Q245" s="5">
        <f>S244</f>
        <v>9641.5779696665559</v>
      </c>
      <c r="R245" s="5">
        <f>Q245*P245*$T$1</f>
        <v>1446.2366954499835</v>
      </c>
      <c r="S245" s="5">
        <f>R245+Q245</f>
        <v>11087.814665116539</v>
      </c>
      <c r="T245" s="5"/>
      <c r="U245" s="4"/>
      <c r="V245" s="13"/>
      <c r="W245" s="13"/>
      <c r="X245" s="13" t="s">
        <v>409</v>
      </c>
      <c r="Y245" s="13" t="s">
        <v>2</v>
      </c>
      <c r="Z245" s="13" t="s">
        <v>408</v>
      </c>
      <c r="AA245" s="13" t="s">
        <v>399</v>
      </c>
      <c r="AB245" s="12">
        <v>45962</v>
      </c>
    </row>
    <row r="246" spans="1:28" x14ac:dyDescent="0.3">
      <c r="A246" s="11">
        <v>245</v>
      </c>
      <c r="B246" s="9" t="s">
        <v>108</v>
      </c>
      <c r="C246" s="10">
        <v>45976.40625</v>
      </c>
      <c r="D246" s="10">
        <v>45977.104166666664</v>
      </c>
      <c r="E246" s="10">
        <v>45980.708333333336</v>
      </c>
      <c r="F246" s="9" t="s">
        <v>407</v>
      </c>
      <c r="G246" s="9" t="s">
        <v>406</v>
      </c>
      <c r="H246" s="9" t="s">
        <v>404</v>
      </c>
      <c r="I246" s="9" t="s">
        <v>405</v>
      </c>
      <c r="J246" s="9" t="s">
        <v>405</v>
      </c>
      <c r="K246" s="9" t="s">
        <v>404</v>
      </c>
      <c r="L246" s="9" t="s">
        <v>403</v>
      </c>
      <c r="M246" s="9" t="s">
        <v>402</v>
      </c>
      <c r="N246" s="9" t="s">
        <v>401</v>
      </c>
      <c r="O246" s="9">
        <v>10</v>
      </c>
      <c r="P246" s="4">
        <f>O246/100</f>
        <v>0.1</v>
      </c>
      <c r="Q246" s="5">
        <f>S245</f>
        <v>11087.814665116539</v>
      </c>
      <c r="R246" s="5">
        <f>Q246*P246*$T$1</f>
        <v>1663.1721997674808</v>
      </c>
      <c r="S246" s="5">
        <f>R246+Q246</f>
        <v>12750.98686488402</v>
      </c>
      <c r="T246" s="5"/>
      <c r="U246" s="4"/>
      <c r="V246" s="9"/>
      <c r="W246" s="9"/>
      <c r="X246" s="9" t="s">
        <v>400</v>
      </c>
      <c r="Y246" s="9" t="s">
        <v>2</v>
      </c>
      <c r="Z246" s="9" t="s">
        <v>399</v>
      </c>
      <c r="AA246" s="9" t="s">
        <v>336</v>
      </c>
      <c r="AB246" s="8">
        <v>45962</v>
      </c>
    </row>
    <row r="247" spans="1:28" x14ac:dyDescent="0.3">
      <c r="A247" s="15">
        <v>246</v>
      </c>
      <c r="B247" s="13" t="s">
        <v>42</v>
      </c>
      <c r="C247" s="14">
        <v>45977.4375</v>
      </c>
      <c r="D247" s="14">
        <v>45977.46875</v>
      </c>
      <c r="E247" s="14">
        <v>45977.739583333336</v>
      </c>
      <c r="F247" s="13" t="s">
        <v>398</v>
      </c>
      <c r="G247" s="13" t="s">
        <v>397</v>
      </c>
      <c r="H247" s="13" t="s">
        <v>395</v>
      </c>
      <c r="I247" s="13" t="s">
        <v>396</v>
      </c>
      <c r="J247" s="13" t="s">
        <v>396</v>
      </c>
      <c r="K247" s="13" t="s">
        <v>395</v>
      </c>
      <c r="L247" s="13" t="s">
        <v>394</v>
      </c>
      <c r="M247" s="13" t="s">
        <v>393</v>
      </c>
      <c r="N247" s="13" t="s">
        <v>392</v>
      </c>
      <c r="O247" s="13">
        <v>8</v>
      </c>
      <c r="P247" s="4">
        <f>O247/100</f>
        <v>0.08</v>
      </c>
      <c r="Q247" s="5">
        <f>S246</f>
        <v>12750.98686488402</v>
      </c>
      <c r="R247" s="5">
        <f>Q247*P247*$T$1</f>
        <v>1530.1184237860825</v>
      </c>
      <c r="S247" s="5">
        <f>R247+Q247</f>
        <v>14281.105288670104</v>
      </c>
      <c r="T247" s="5"/>
      <c r="U247" s="4"/>
      <c r="V247" s="13"/>
      <c r="W247" s="13"/>
      <c r="X247" s="13" t="s">
        <v>391</v>
      </c>
      <c r="Y247" s="13" t="s">
        <v>2</v>
      </c>
      <c r="Z247" s="13" t="s">
        <v>390</v>
      </c>
      <c r="AA247" s="13" t="s">
        <v>381</v>
      </c>
      <c r="AB247" s="12">
        <v>45962</v>
      </c>
    </row>
    <row r="248" spans="1:28" x14ac:dyDescent="0.3">
      <c r="A248" s="11">
        <v>247</v>
      </c>
      <c r="B248" s="9" t="s">
        <v>42</v>
      </c>
      <c r="C248" s="10">
        <v>45979.25</v>
      </c>
      <c r="D248" s="10">
        <v>45979.375</v>
      </c>
      <c r="E248" s="10">
        <v>45979.677083333336</v>
      </c>
      <c r="F248" s="9" t="s">
        <v>389</v>
      </c>
      <c r="G248" s="9" t="s">
        <v>388</v>
      </c>
      <c r="H248" s="9" t="s">
        <v>386</v>
      </c>
      <c r="I248" s="9" t="s">
        <v>387</v>
      </c>
      <c r="J248" s="9" t="s">
        <v>387</v>
      </c>
      <c r="K248" s="9" t="s">
        <v>386</v>
      </c>
      <c r="L248" s="9" t="s">
        <v>385</v>
      </c>
      <c r="M248" s="9" t="s">
        <v>384</v>
      </c>
      <c r="N248" s="9" t="s">
        <v>383</v>
      </c>
      <c r="O248" s="9">
        <v>-3.7520852772358402</v>
      </c>
      <c r="P248" s="4">
        <f>O248/100</f>
        <v>-3.75208527723584E-2</v>
      </c>
      <c r="Q248" s="5">
        <f>S247</f>
        <v>14281.105288670104</v>
      </c>
      <c r="R248" s="5">
        <f>Q248*P248*$T$1</f>
        <v>-803.75887344410967</v>
      </c>
      <c r="S248" s="5">
        <f>R248+Q248</f>
        <v>13477.346415225995</v>
      </c>
      <c r="T248" s="5"/>
      <c r="U248" s="4"/>
      <c r="V248" s="9"/>
      <c r="W248" s="9"/>
      <c r="X248" s="9" t="s">
        <v>382</v>
      </c>
      <c r="Y248" s="9" t="s">
        <v>63</v>
      </c>
      <c r="Z248" s="9" t="s">
        <v>381</v>
      </c>
      <c r="AA248" s="9" t="s">
        <v>372</v>
      </c>
      <c r="AB248" s="8">
        <v>45962</v>
      </c>
    </row>
    <row r="249" spans="1:28" x14ac:dyDescent="0.3">
      <c r="A249" s="15">
        <v>248</v>
      </c>
      <c r="B249" s="13" t="s">
        <v>42</v>
      </c>
      <c r="C249" s="14">
        <v>45981.375</v>
      </c>
      <c r="D249" s="14">
        <v>45981.427083333336</v>
      </c>
      <c r="E249" s="14">
        <v>45981.458333333336</v>
      </c>
      <c r="F249" s="13" t="s">
        <v>380</v>
      </c>
      <c r="G249" s="13" t="s">
        <v>379</v>
      </c>
      <c r="H249" s="13" t="s">
        <v>377</v>
      </c>
      <c r="I249" s="13" t="s">
        <v>378</v>
      </c>
      <c r="J249" s="13" t="s">
        <v>378</v>
      </c>
      <c r="K249" s="13" t="s">
        <v>377</v>
      </c>
      <c r="L249" s="13" t="s">
        <v>376</v>
      </c>
      <c r="M249" s="13" t="s">
        <v>375</v>
      </c>
      <c r="N249" s="13" t="s">
        <v>374</v>
      </c>
      <c r="O249" s="13">
        <v>-1.2594458438287199</v>
      </c>
      <c r="P249" s="4">
        <f>O249/100</f>
        <v>-1.2594458438287199E-2</v>
      </c>
      <c r="Q249" s="5">
        <f>S248</f>
        <v>13477.346415225995</v>
      </c>
      <c r="R249" s="5">
        <f>Q249*P249*$T$1</f>
        <v>-254.60981892744417</v>
      </c>
      <c r="S249" s="5">
        <f>R249+Q249</f>
        <v>13222.736596298551</v>
      </c>
      <c r="T249" s="5"/>
      <c r="U249" s="4"/>
      <c r="V249" s="13"/>
      <c r="W249" s="13"/>
      <c r="X249" s="13" t="s">
        <v>373</v>
      </c>
      <c r="Y249" s="13" t="s">
        <v>63</v>
      </c>
      <c r="Z249" s="13" t="s">
        <v>372</v>
      </c>
      <c r="AA249" s="13" t="s">
        <v>354</v>
      </c>
      <c r="AB249" s="12">
        <v>45962</v>
      </c>
    </row>
    <row r="250" spans="1:28" x14ac:dyDescent="0.3">
      <c r="A250" s="11">
        <v>249</v>
      </c>
      <c r="B250" s="9" t="s">
        <v>11</v>
      </c>
      <c r="C250" s="10">
        <v>45981.114583333336</v>
      </c>
      <c r="D250" s="10">
        <v>45981.666666666664</v>
      </c>
      <c r="E250" s="10">
        <v>45981.78125</v>
      </c>
      <c r="F250" s="9" t="s">
        <v>371</v>
      </c>
      <c r="G250" s="9" t="s">
        <v>370</v>
      </c>
      <c r="H250" s="9" t="s">
        <v>368</v>
      </c>
      <c r="I250" s="9" t="s">
        <v>369</v>
      </c>
      <c r="J250" s="9" t="s">
        <v>369</v>
      </c>
      <c r="K250" s="9" t="s">
        <v>368</v>
      </c>
      <c r="L250" s="9" t="s">
        <v>367</v>
      </c>
      <c r="M250" s="9" t="s">
        <v>366</v>
      </c>
      <c r="N250" s="9" t="s">
        <v>365</v>
      </c>
      <c r="O250" s="9">
        <v>6</v>
      </c>
      <c r="P250" s="4">
        <f>O250/100</f>
        <v>0.06</v>
      </c>
      <c r="Q250" s="5">
        <f>S249</f>
        <v>13222.736596298551</v>
      </c>
      <c r="R250" s="5">
        <f>Q250*P250*$T$1</f>
        <v>1190.0462936668696</v>
      </c>
      <c r="S250" s="5">
        <f>R250+Q250</f>
        <v>14412.782889965421</v>
      </c>
      <c r="T250" s="5"/>
      <c r="U250" s="4"/>
      <c r="V250" s="9"/>
      <c r="W250" s="9"/>
      <c r="X250" s="9" t="s">
        <v>364</v>
      </c>
      <c r="Y250" s="9" t="s">
        <v>2</v>
      </c>
      <c r="Z250" s="9" t="s">
        <v>363</v>
      </c>
      <c r="AA250" s="9" t="s">
        <v>327</v>
      </c>
      <c r="AB250" s="8">
        <v>45962</v>
      </c>
    </row>
    <row r="251" spans="1:28" x14ac:dyDescent="0.3">
      <c r="A251" s="15">
        <v>250</v>
      </c>
      <c r="B251" s="13" t="s">
        <v>42</v>
      </c>
      <c r="C251" s="14">
        <v>45983.84375</v>
      </c>
      <c r="D251" s="14">
        <v>45983.854166666664</v>
      </c>
      <c r="E251" s="14">
        <v>45983.947916666664</v>
      </c>
      <c r="F251" s="13" t="s">
        <v>362</v>
      </c>
      <c r="G251" s="13" t="s">
        <v>361</v>
      </c>
      <c r="H251" s="13" t="s">
        <v>359</v>
      </c>
      <c r="I251" s="13" t="s">
        <v>360</v>
      </c>
      <c r="J251" s="13" t="s">
        <v>360</v>
      </c>
      <c r="K251" s="13" t="s">
        <v>359</v>
      </c>
      <c r="L251" s="13" t="s">
        <v>358</v>
      </c>
      <c r="M251" s="13" t="s">
        <v>357</v>
      </c>
      <c r="N251" s="13" t="s">
        <v>356</v>
      </c>
      <c r="O251" s="13">
        <v>-3.9362959872035499</v>
      </c>
      <c r="P251" s="4">
        <f>O251/100</f>
        <v>-3.9362959872035502E-2</v>
      </c>
      <c r="Q251" s="5">
        <f>S250</f>
        <v>14412.782889965421</v>
      </c>
      <c r="R251" s="5">
        <f>Q251*P251*$T$1</f>
        <v>-850.99469181310315</v>
      </c>
      <c r="S251" s="5">
        <f>R251+Q251</f>
        <v>13561.788198152319</v>
      </c>
      <c r="T251" s="5"/>
      <c r="U251" s="4"/>
      <c r="V251" s="13"/>
      <c r="W251" s="13"/>
      <c r="X251" s="13" t="s">
        <v>355</v>
      </c>
      <c r="Y251" s="13" t="s">
        <v>63</v>
      </c>
      <c r="Z251" s="13" t="s">
        <v>354</v>
      </c>
      <c r="AA251" s="13" t="s">
        <v>345</v>
      </c>
      <c r="AB251" s="12">
        <v>45962</v>
      </c>
    </row>
    <row r="252" spans="1:28" x14ac:dyDescent="0.3">
      <c r="A252" s="11">
        <v>251</v>
      </c>
      <c r="B252" s="9" t="s">
        <v>42</v>
      </c>
      <c r="C252" s="10">
        <v>45984.166666666664</v>
      </c>
      <c r="D252" s="10">
        <v>45984.239583333336</v>
      </c>
      <c r="E252" s="10">
        <v>45985.09375</v>
      </c>
      <c r="F252" s="9" t="s">
        <v>353</v>
      </c>
      <c r="G252" s="9" t="s">
        <v>352</v>
      </c>
      <c r="H252" s="9" t="s">
        <v>350</v>
      </c>
      <c r="I252" s="9" t="s">
        <v>351</v>
      </c>
      <c r="J252" s="9" t="s">
        <v>351</v>
      </c>
      <c r="K252" s="9" t="s">
        <v>350</v>
      </c>
      <c r="L252" s="9" t="s">
        <v>349</v>
      </c>
      <c r="M252" s="9" t="s">
        <v>348</v>
      </c>
      <c r="N252" s="9" t="s">
        <v>347</v>
      </c>
      <c r="O252" s="9">
        <v>-2.8212006289889899</v>
      </c>
      <c r="P252" s="4">
        <f>O252/100</f>
        <v>-2.8212006289889898E-2</v>
      </c>
      <c r="Q252" s="5">
        <f>S251</f>
        <v>13561.788198152319</v>
      </c>
      <c r="R252" s="5">
        <f>Q252*P252*$T$1</f>
        <v>-573.90788092264165</v>
      </c>
      <c r="S252" s="5">
        <f>R252+Q252</f>
        <v>12987.880317229678</v>
      </c>
      <c r="T252" s="5"/>
      <c r="U252" s="4"/>
      <c r="V252" s="9"/>
      <c r="W252" s="9"/>
      <c r="X252" s="9" t="s">
        <v>346</v>
      </c>
      <c r="Y252" s="9" t="s">
        <v>63</v>
      </c>
      <c r="Z252" s="9" t="s">
        <v>345</v>
      </c>
      <c r="AA252" s="9" t="s">
        <v>300</v>
      </c>
      <c r="AB252" s="8">
        <v>45962</v>
      </c>
    </row>
    <row r="253" spans="1:28" x14ac:dyDescent="0.3">
      <c r="A253" s="15">
        <v>252</v>
      </c>
      <c r="B253" s="13" t="s">
        <v>108</v>
      </c>
      <c r="C253" s="14">
        <v>45984.239583333336</v>
      </c>
      <c r="D253" s="14">
        <v>45984.25</v>
      </c>
      <c r="E253" s="14">
        <v>45985.697916666664</v>
      </c>
      <c r="F253" s="13" t="s">
        <v>344</v>
      </c>
      <c r="G253" s="13" t="s">
        <v>343</v>
      </c>
      <c r="H253" s="13" t="s">
        <v>341</v>
      </c>
      <c r="I253" s="13" t="s">
        <v>342</v>
      </c>
      <c r="J253" s="13" t="s">
        <v>342</v>
      </c>
      <c r="K253" s="13" t="s">
        <v>341</v>
      </c>
      <c r="L253" s="13" t="s">
        <v>340</v>
      </c>
      <c r="M253" s="13" t="s">
        <v>339</v>
      </c>
      <c r="N253" s="13" t="s">
        <v>338</v>
      </c>
      <c r="O253" s="13">
        <v>-0.57794188473270003</v>
      </c>
      <c r="P253" s="4">
        <f>O253/100</f>
        <v>-5.7794188473269999E-3</v>
      </c>
      <c r="Q253" s="5">
        <f>S252</f>
        <v>12987.880317229678</v>
      </c>
      <c r="R253" s="5">
        <f>Q253*P253*$T$1</f>
        <v>-112.59360043833685</v>
      </c>
      <c r="S253" s="5">
        <f>R253+Q253</f>
        <v>12875.286716791341</v>
      </c>
      <c r="T253" s="5"/>
      <c r="U253" s="4"/>
      <c r="V253" s="13"/>
      <c r="W253" s="13"/>
      <c r="X253" s="13" t="s">
        <v>337</v>
      </c>
      <c r="Y253" s="13" t="s">
        <v>63</v>
      </c>
      <c r="Z253" s="13" t="s">
        <v>336</v>
      </c>
      <c r="AA253" s="13" t="s">
        <v>219</v>
      </c>
      <c r="AB253" s="12">
        <v>45962</v>
      </c>
    </row>
    <row r="254" spans="1:28" x14ac:dyDescent="0.3">
      <c r="A254" s="11">
        <v>253</v>
      </c>
      <c r="B254" s="9" t="s">
        <v>11</v>
      </c>
      <c r="C254" s="10">
        <v>45984.65625</v>
      </c>
      <c r="D254" s="10">
        <v>45985</v>
      </c>
      <c r="E254" s="10">
        <v>45985.083333333336</v>
      </c>
      <c r="F254" s="9" t="s">
        <v>335</v>
      </c>
      <c r="G254" s="9" t="s">
        <v>334</v>
      </c>
      <c r="H254" s="9" t="s">
        <v>332</v>
      </c>
      <c r="I254" s="9" t="s">
        <v>333</v>
      </c>
      <c r="J254" s="9" t="s">
        <v>333</v>
      </c>
      <c r="K254" s="9" t="s">
        <v>332</v>
      </c>
      <c r="L254" s="9" t="s">
        <v>331</v>
      </c>
      <c r="M254" s="9" t="s">
        <v>330</v>
      </c>
      <c r="N254" s="9" t="s">
        <v>329</v>
      </c>
      <c r="O254" s="9">
        <v>-1.8774710375425201</v>
      </c>
      <c r="P254" s="4">
        <f>O254/100</f>
        <v>-1.8774710375425201E-2</v>
      </c>
      <c r="Q254" s="5">
        <f>S253</f>
        <v>12875.286716791341</v>
      </c>
      <c r="R254" s="5">
        <f>Q254*P254*$T$1</f>
        <v>-362.59466866247499</v>
      </c>
      <c r="S254" s="5">
        <f>R254+Q254</f>
        <v>12512.692048128865</v>
      </c>
      <c r="T254" s="5"/>
      <c r="U254" s="4"/>
      <c r="V254" s="9"/>
      <c r="W254" s="9"/>
      <c r="X254" s="9" t="s">
        <v>328</v>
      </c>
      <c r="Y254" s="9" t="s">
        <v>63</v>
      </c>
      <c r="Z254" s="9" t="s">
        <v>327</v>
      </c>
      <c r="AA254" s="9" t="s">
        <v>318</v>
      </c>
      <c r="AB254" s="8">
        <v>45962</v>
      </c>
    </row>
    <row r="255" spans="1:28" x14ac:dyDescent="0.3">
      <c r="A255" s="15">
        <v>254</v>
      </c>
      <c r="B255" s="13" t="s">
        <v>11</v>
      </c>
      <c r="C255" s="14">
        <v>45985.854166666664</v>
      </c>
      <c r="D255" s="14">
        <v>45985.895833333336</v>
      </c>
      <c r="E255" s="14">
        <v>45986.947916666664</v>
      </c>
      <c r="F255" s="13" t="s">
        <v>326</v>
      </c>
      <c r="G255" s="13" t="s">
        <v>325</v>
      </c>
      <c r="H255" s="13" t="s">
        <v>323</v>
      </c>
      <c r="I255" s="13" t="s">
        <v>324</v>
      </c>
      <c r="J255" s="13" t="s">
        <v>324</v>
      </c>
      <c r="K255" s="13" t="s">
        <v>323</v>
      </c>
      <c r="L255" s="13" t="s">
        <v>322</v>
      </c>
      <c r="M255" s="13" t="s">
        <v>321</v>
      </c>
      <c r="N255" s="13" t="s">
        <v>320</v>
      </c>
      <c r="O255" s="13">
        <v>-0.77083743104142199</v>
      </c>
      <c r="P255" s="4">
        <f>O255/100</f>
        <v>-7.70837431041422E-3</v>
      </c>
      <c r="Q255" s="5">
        <f>S254</f>
        <v>12512.692048128865</v>
      </c>
      <c r="R255" s="5">
        <f>Q255*P255*$T$1</f>
        <v>-144.67877090688125</v>
      </c>
      <c r="S255" s="5">
        <f>R255+Q255</f>
        <v>12368.013277221984</v>
      </c>
      <c r="T255" s="5"/>
      <c r="U255" s="4"/>
      <c r="V255" s="13"/>
      <c r="W255" s="13"/>
      <c r="X255" s="13" t="s">
        <v>319</v>
      </c>
      <c r="Y255" s="13" t="s">
        <v>63</v>
      </c>
      <c r="Z255" s="13" t="s">
        <v>318</v>
      </c>
      <c r="AA255" s="13" t="s">
        <v>264</v>
      </c>
      <c r="AB255" s="12">
        <v>45962</v>
      </c>
    </row>
    <row r="256" spans="1:28" x14ac:dyDescent="0.3">
      <c r="A256" s="11">
        <v>255</v>
      </c>
      <c r="B256" s="9" t="s">
        <v>22</v>
      </c>
      <c r="C256" s="10">
        <v>45985.927083333336</v>
      </c>
      <c r="D256" s="10">
        <v>45985.989583333336</v>
      </c>
      <c r="E256" s="10">
        <v>45986.1875</v>
      </c>
      <c r="F256" s="9" t="s">
        <v>317</v>
      </c>
      <c r="G256" s="9" t="s">
        <v>316</v>
      </c>
      <c r="H256" s="9" t="s">
        <v>314</v>
      </c>
      <c r="I256" s="9" t="s">
        <v>315</v>
      </c>
      <c r="J256" s="9" t="s">
        <v>315</v>
      </c>
      <c r="K256" s="9" t="s">
        <v>314</v>
      </c>
      <c r="L256" s="9" t="s">
        <v>313</v>
      </c>
      <c r="M256" s="9" t="s">
        <v>312</v>
      </c>
      <c r="N256" s="9" t="s">
        <v>311</v>
      </c>
      <c r="O256" s="9">
        <v>-0.41049152361661201</v>
      </c>
      <c r="P256" s="4">
        <f>O256/100</f>
        <v>-4.1049152361661203E-3</v>
      </c>
      <c r="Q256" s="5">
        <f>S255</f>
        <v>12368.013277221984</v>
      </c>
      <c r="R256" s="5">
        <f>Q256*P256*$T$1</f>
        <v>-76.154469214160088</v>
      </c>
      <c r="S256" s="5">
        <f>R256+Q256</f>
        <v>12291.858808007824</v>
      </c>
      <c r="T256" s="5"/>
      <c r="U256" s="4"/>
      <c r="V256" s="9"/>
      <c r="W256" s="9"/>
      <c r="X256" s="9" t="s">
        <v>310</v>
      </c>
      <c r="Y256" s="9" t="s">
        <v>63</v>
      </c>
      <c r="Z256" s="9" t="s">
        <v>309</v>
      </c>
      <c r="AA256" s="9" t="s">
        <v>282</v>
      </c>
      <c r="AB256" s="8">
        <v>45962</v>
      </c>
    </row>
    <row r="257" spans="1:28" x14ac:dyDescent="0.3">
      <c r="A257" s="15">
        <v>256</v>
      </c>
      <c r="B257" s="13" t="s">
        <v>42</v>
      </c>
      <c r="C257" s="14">
        <v>45985.864583333336</v>
      </c>
      <c r="D257" s="14">
        <v>45986.177083333336</v>
      </c>
      <c r="E257" s="14">
        <v>45986.447916666664</v>
      </c>
      <c r="F257" s="13" t="s">
        <v>308</v>
      </c>
      <c r="G257" s="13" t="s">
        <v>307</v>
      </c>
      <c r="H257" s="13" t="s">
        <v>305</v>
      </c>
      <c r="I257" s="13" t="s">
        <v>306</v>
      </c>
      <c r="J257" s="13" t="s">
        <v>306</v>
      </c>
      <c r="K257" s="13" t="s">
        <v>305</v>
      </c>
      <c r="L257" s="13" t="s">
        <v>304</v>
      </c>
      <c r="M257" s="13" t="s">
        <v>303</v>
      </c>
      <c r="N257" s="13" t="s">
        <v>302</v>
      </c>
      <c r="O257" s="13">
        <v>-4.4160942100097902</v>
      </c>
      <c r="P257" s="4">
        <f>O257/100</f>
        <v>-4.4160942100097904E-2</v>
      </c>
      <c r="Q257" s="5">
        <f>S256</f>
        <v>12291.858808007824</v>
      </c>
      <c r="R257" s="5">
        <f>Q257*P257*$T$1</f>
        <v>-814.230097684518</v>
      </c>
      <c r="S257" s="5">
        <f>R257+Q257</f>
        <v>11477.628710323306</v>
      </c>
      <c r="T257" s="5"/>
      <c r="U257" s="4"/>
      <c r="V257" s="13"/>
      <c r="W257" s="13"/>
      <c r="X257" s="13" t="s">
        <v>301</v>
      </c>
      <c r="Y257" s="13" t="s">
        <v>63</v>
      </c>
      <c r="Z257" s="13" t="s">
        <v>300</v>
      </c>
      <c r="AA257" s="13" t="s">
        <v>291</v>
      </c>
      <c r="AB257" s="12">
        <v>45962</v>
      </c>
    </row>
    <row r="258" spans="1:28" x14ac:dyDescent="0.3">
      <c r="A258" s="11">
        <v>257</v>
      </c>
      <c r="B258" s="9" t="s">
        <v>42</v>
      </c>
      <c r="C258" s="10">
        <v>45986.552083333336</v>
      </c>
      <c r="D258" s="10">
        <v>45986.635416666664</v>
      </c>
      <c r="E258" s="10">
        <v>45987.520833333336</v>
      </c>
      <c r="F258" s="9" t="s">
        <v>299</v>
      </c>
      <c r="G258" s="9" t="s">
        <v>298</v>
      </c>
      <c r="H258" s="9" t="s">
        <v>296</v>
      </c>
      <c r="I258" s="9" t="s">
        <v>297</v>
      </c>
      <c r="J258" s="9" t="s">
        <v>297</v>
      </c>
      <c r="K258" s="9" t="s">
        <v>296</v>
      </c>
      <c r="L258" s="9" t="s">
        <v>295</v>
      </c>
      <c r="M258" s="9" t="s">
        <v>294</v>
      </c>
      <c r="N258" s="9" t="s">
        <v>293</v>
      </c>
      <c r="O258" s="9">
        <v>8</v>
      </c>
      <c r="P258" s="4">
        <f>O258/100</f>
        <v>0.08</v>
      </c>
      <c r="Q258" s="5">
        <f>S257</f>
        <v>11477.628710323306</v>
      </c>
      <c r="R258" s="5">
        <f>Q258*P258*$T$1</f>
        <v>1377.3154452387967</v>
      </c>
      <c r="S258" s="5">
        <f>R258+Q258</f>
        <v>12854.944155562103</v>
      </c>
      <c r="T258" s="5"/>
      <c r="U258" s="4"/>
      <c r="V258" s="9"/>
      <c r="W258" s="9"/>
      <c r="X258" s="9" t="s">
        <v>292</v>
      </c>
      <c r="Y258" s="9" t="s">
        <v>2</v>
      </c>
      <c r="Z258" s="9" t="s">
        <v>291</v>
      </c>
      <c r="AA258" s="9" t="s">
        <v>237</v>
      </c>
      <c r="AB258" s="8">
        <v>45962</v>
      </c>
    </row>
    <row r="259" spans="1:28" x14ac:dyDescent="0.3">
      <c r="A259" s="15">
        <v>258</v>
      </c>
      <c r="B259" s="13" t="s">
        <v>22</v>
      </c>
      <c r="C259" s="14">
        <v>45986.510416666664</v>
      </c>
      <c r="D259" s="14">
        <v>45986.65625</v>
      </c>
      <c r="E259" s="14">
        <v>45986.6875</v>
      </c>
      <c r="F259" s="13" t="s">
        <v>290</v>
      </c>
      <c r="G259" s="13" t="s">
        <v>289</v>
      </c>
      <c r="H259" s="13" t="s">
        <v>287</v>
      </c>
      <c r="I259" s="13" t="s">
        <v>288</v>
      </c>
      <c r="J259" s="13" t="s">
        <v>288</v>
      </c>
      <c r="K259" s="13" t="s">
        <v>287</v>
      </c>
      <c r="L259" s="13" t="s">
        <v>286</v>
      </c>
      <c r="M259" s="13" t="s">
        <v>285</v>
      </c>
      <c r="N259" s="13" t="s">
        <v>284</v>
      </c>
      <c r="O259" s="13">
        <v>-4.6576931745544998</v>
      </c>
      <c r="P259" s="4">
        <f>O259/100</f>
        <v>-4.6576931745544996E-2</v>
      </c>
      <c r="Q259" s="5">
        <f>S258</f>
        <v>12854.944155562103</v>
      </c>
      <c r="R259" s="5">
        <f>Q259*P259*$T$1</f>
        <v>-898.11578478961292</v>
      </c>
      <c r="S259" s="5">
        <f>R259+Q259</f>
        <v>11956.828370772491</v>
      </c>
      <c r="T259" s="5"/>
      <c r="U259" s="4"/>
      <c r="V259" s="13"/>
      <c r="W259" s="13"/>
      <c r="X259" s="13" t="s">
        <v>283</v>
      </c>
      <c r="Y259" s="13" t="s">
        <v>63</v>
      </c>
      <c r="Z259" s="13" t="s">
        <v>282</v>
      </c>
      <c r="AA259" s="13" t="s">
        <v>273</v>
      </c>
      <c r="AB259" s="12">
        <v>45962</v>
      </c>
    </row>
    <row r="260" spans="1:28" x14ac:dyDescent="0.3">
      <c r="A260" s="11">
        <v>259</v>
      </c>
      <c r="B260" s="9" t="s">
        <v>22</v>
      </c>
      <c r="C260" s="10">
        <v>45987.90625</v>
      </c>
      <c r="D260" s="10">
        <v>45987.96875</v>
      </c>
      <c r="E260" s="10">
        <v>45989.520833333336</v>
      </c>
      <c r="F260" s="9" t="s">
        <v>281</v>
      </c>
      <c r="G260" s="9" t="s">
        <v>280</v>
      </c>
      <c r="H260" s="9" t="s">
        <v>278</v>
      </c>
      <c r="I260" s="9" t="s">
        <v>279</v>
      </c>
      <c r="J260" s="9" t="s">
        <v>279</v>
      </c>
      <c r="K260" s="9" t="s">
        <v>278</v>
      </c>
      <c r="L260" s="9" t="s">
        <v>277</v>
      </c>
      <c r="M260" s="9" t="s">
        <v>276</v>
      </c>
      <c r="N260" s="9" t="s">
        <v>275</v>
      </c>
      <c r="O260" s="9">
        <v>-3.3623977034148802</v>
      </c>
      <c r="P260" s="4">
        <f>O260/100</f>
        <v>-3.3623977034148801E-2</v>
      </c>
      <c r="Q260" s="5">
        <f>S259</f>
        <v>11956.828370772491</v>
      </c>
      <c r="R260" s="5">
        <f>Q260*P260*$T$1</f>
        <v>-603.05418381016966</v>
      </c>
      <c r="S260" s="5">
        <f>R260+Q260</f>
        <v>11353.774186962322</v>
      </c>
      <c r="T260" s="5"/>
      <c r="U260" s="4"/>
      <c r="V260" s="9"/>
      <c r="W260" s="9"/>
      <c r="X260" s="9" t="s">
        <v>274</v>
      </c>
      <c r="Y260" s="9" t="s">
        <v>63</v>
      </c>
      <c r="Z260" s="9" t="s">
        <v>273</v>
      </c>
      <c r="AA260" s="9" t="s">
        <v>255</v>
      </c>
      <c r="AB260" s="8">
        <v>45962</v>
      </c>
    </row>
    <row r="261" spans="1:28" x14ac:dyDescent="0.3">
      <c r="A261" s="15">
        <v>260</v>
      </c>
      <c r="B261" s="13" t="s">
        <v>11</v>
      </c>
      <c r="C261" s="14">
        <v>45987.78125</v>
      </c>
      <c r="D261" s="14">
        <v>45988</v>
      </c>
      <c r="E261" s="14">
        <v>45992</v>
      </c>
      <c r="F261" s="13" t="s">
        <v>272</v>
      </c>
      <c r="G261" s="13" t="s">
        <v>271</v>
      </c>
      <c r="H261" s="13" t="s">
        <v>269</v>
      </c>
      <c r="I261" s="13" t="s">
        <v>270</v>
      </c>
      <c r="J261" s="13" t="s">
        <v>270</v>
      </c>
      <c r="K261" s="13" t="s">
        <v>269</v>
      </c>
      <c r="L261" s="13" t="s">
        <v>268</v>
      </c>
      <c r="M261" s="13" t="s">
        <v>267</v>
      </c>
      <c r="N261" s="13" t="s">
        <v>266</v>
      </c>
      <c r="O261" s="13">
        <v>6</v>
      </c>
      <c r="P261" s="4">
        <f>O261/100</f>
        <v>0.06</v>
      </c>
      <c r="Q261" s="5">
        <f>S260</f>
        <v>11353.774186962322</v>
      </c>
      <c r="R261" s="5">
        <f>Q261*P261*$T$1</f>
        <v>1021.8396768266089</v>
      </c>
      <c r="S261" s="5">
        <f>R261+Q261</f>
        <v>12375.613863788931</v>
      </c>
      <c r="T261" s="5"/>
      <c r="U261" s="4"/>
      <c r="V261" s="13"/>
      <c r="W261" s="13"/>
      <c r="X261" s="13" t="s">
        <v>265</v>
      </c>
      <c r="Y261" s="13" t="s">
        <v>2</v>
      </c>
      <c r="Z261" s="13" t="s">
        <v>264</v>
      </c>
      <c r="AA261" s="13" t="s">
        <v>182</v>
      </c>
      <c r="AB261" s="12">
        <v>45962</v>
      </c>
    </row>
    <row r="262" spans="1:28" x14ac:dyDescent="0.3">
      <c r="A262" s="11">
        <v>261</v>
      </c>
      <c r="B262" s="9" t="s">
        <v>22</v>
      </c>
      <c r="C262" s="10">
        <v>45988.791666666664</v>
      </c>
      <c r="D262" s="10">
        <v>45988.875</v>
      </c>
      <c r="E262" s="10">
        <v>45989.520833333336</v>
      </c>
      <c r="F262" s="9" t="s">
        <v>263</v>
      </c>
      <c r="G262" s="9" t="s">
        <v>262</v>
      </c>
      <c r="H262" s="9" t="s">
        <v>260</v>
      </c>
      <c r="I262" s="9" t="s">
        <v>261</v>
      </c>
      <c r="J262" s="9" t="s">
        <v>261</v>
      </c>
      <c r="K262" s="9" t="s">
        <v>260</v>
      </c>
      <c r="L262" s="9" t="s">
        <v>259</v>
      </c>
      <c r="M262" s="9" t="s">
        <v>258</v>
      </c>
      <c r="N262" s="9" t="s">
        <v>257</v>
      </c>
      <c r="O262" s="9">
        <v>-1.9735897288602799</v>
      </c>
      <c r="P262" s="4">
        <f>O262/100</f>
        <v>-1.97358972886028E-2</v>
      </c>
      <c r="Q262" s="5">
        <f>S261</f>
        <v>12375.613863788931</v>
      </c>
      <c r="R262" s="5">
        <f>Q262*P262*$T$1</f>
        <v>-366.36576614872075</v>
      </c>
      <c r="S262" s="5">
        <f>R262+Q262</f>
        <v>12009.248097640209</v>
      </c>
      <c r="T262" s="5"/>
      <c r="U262" s="4"/>
      <c r="V262" s="9"/>
      <c r="W262" s="9"/>
      <c r="X262" s="9" t="s">
        <v>256</v>
      </c>
      <c r="Y262" s="9" t="s">
        <v>63</v>
      </c>
      <c r="Z262" s="9" t="s">
        <v>255</v>
      </c>
      <c r="AA262" s="9" t="s">
        <v>246</v>
      </c>
      <c r="AB262" s="8">
        <v>45962</v>
      </c>
    </row>
    <row r="263" spans="1:28" x14ac:dyDescent="0.3">
      <c r="A263" s="15">
        <v>262</v>
      </c>
      <c r="B263" s="13" t="s">
        <v>22</v>
      </c>
      <c r="C263" s="14">
        <v>45989.416666666664</v>
      </c>
      <c r="D263" s="14">
        <v>45989.479166666664</v>
      </c>
      <c r="E263" s="14">
        <v>45989.489583333336</v>
      </c>
      <c r="F263" s="13" t="s">
        <v>254</v>
      </c>
      <c r="G263" s="13" t="s">
        <v>253</v>
      </c>
      <c r="H263" s="13" t="s">
        <v>251</v>
      </c>
      <c r="I263" s="13" t="s">
        <v>252</v>
      </c>
      <c r="J263" s="13" t="s">
        <v>252</v>
      </c>
      <c r="K263" s="13" t="s">
        <v>251</v>
      </c>
      <c r="L263" s="13" t="s">
        <v>250</v>
      </c>
      <c r="M263" s="13" t="s">
        <v>249</v>
      </c>
      <c r="N263" s="13" t="s">
        <v>248</v>
      </c>
      <c r="O263" s="13">
        <v>-1.5901347921637301</v>
      </c>
      <c r="P263" s="4">
        <f>O263/100</f>
        <v>-1.5901347921637301E-2</v>
      </c>
      <c r="Q263" s="5">
        <f>S262</f>
        <v>12009.248097640209</v>
      </c>
      <c r="R263" s="5">
        <f>Q263*P263*$T$1</f>
        <v>-286.44484841675677</v>
      </c>
      <c r="S263" s="5">
        <f>R263+Q263</f>
        <v>11722.803249223452</v>
      </c>
      <c r="T263" s="5"/>
      <c r="U263" s="4"/>
      <c r="V263" s="13"/>
      <c r="W263" s="13"/>
      <c r="X263" s="13" t="s">
        <v>247</v>
      </c>
      <c r="Y263" s="13" t="s">
        <v>63</v>
      </c>
      <c r="Z263" s="13" t="s">
        <v>246</v>
      </c>
      <c r="AA263" s="13" t="s">
        <v>209</v>
      </c>
      <c r="AB263" s="12">
        <v>45962</v>
      </c>
    </row>
    <row r="264" spans="1:28" x14ac:dyDescent="0.3">
      <c r="A264" s="11">
        <v>263</v>
      </c>
      <c r="B264" s="9" t="s">
        <v>42</v>
      </c>
      <c r="C264" s="10">
        <v>45989.614583333336</v>
      </c>
      <c r="D264" s="10">
        <v>45989.895833333336</v>
      </c>
      <c r="E264" s="10">
        <v>45990.260416666664</v>
      </c>
      <c r="F264" s="9" t="s">
        <v>245</v>
      </c>
      <c r="G264" s="9" t="s">
        <v>244</v>
      </c>
      <c r="H264" s="9" t="s">
        <v>242</v>
      </c>
      <c r="I264" s="9" t="s">
        <v>243</v>
      </c>
      <c r="J264" s="9" t="s">
        <v>243</v>
      </c>
      <c r="K264" s="9" t="s">
        <v>242</v>
      </c>
      <c r="L264" s="9" t="s">
        <v>241</v>
      </c>
      <c r="M264" s="9" t="s">
        <v>240</v>
      </c>
      <c r="N264" s="9" t="s">
        <v>239</v>
      </c>
      <c r="O264" s="9">
        <v>8</v>
      </c>
      <c r="P264" s="4">
        <f>O264/100</f>
        <v>0.08</v>
      </c>
      <c r="Q264" s="5">
        <f>S263</f>
        <v>11722.803249223452</v>
      </c>
      <c r="R264" s="5">
        <f>Q264*P264*$T$1</f>
        <v>1406.7363899068143</v>
      </c>
      <c r="S264" s="5">
        <f>R264+Q264</f>
        <v>13129.539639130267</v>
      </c>
      <c r="T264" s="5"/>
      <c r="U264" s="4"/>
      <c r="V264" s="9"/>
      <c r="W264" s="9"/>
      <c r="X264" s="9" t="s">
        <v>238</v>
      </c>
      <c r="Y264" s="9" t="s">
        <v>2</v>
      </c>
      <c r="Z264" s="9" t="s">
        <v>237</v>
      </c>
      <c r="AA264" s="9" t="s">
        <v>228</v>
      </c>
      <c r="AB264" s="8">
        <v>45962</v>
      </c>
    </row>
    <row r="265" spans="1:28" x14ac:dyDescent="0.3">
      <c r="A265" s="15">
        <v>264</v>
      </c>
      <c r="B265" s="13" t="s">
        <v>42</v>
      </c>
      <c r="C265" s="14">
        <v>45991.09375</v>
      </c>
      <c r="D265" s="14">
        <v>45991.145833333336</v>
      </c>
      <c r="E265" s="14">
        <v>45991.34375</v>
      </c>
      <c r="F265" s="13" t="s">
        <v>236</v>
      </c>
      <c r="G265" s="13" t="s">
        <v>235</v>
      </c>
      <c r="H265" s="13" t="s">
        <v>233</v>
      </c>
      <c r="I265" s="13" t="s">
        <v>234</v>
      </c>
      <c r="J265" s="13" t="s">
        <v>234</v>
      </c>
      <c r="K265" s="13" t="s">
        <v>233</v>
      </c>
      <c r="L265" s="13" t="s">
        <v>232</v>
      </c>
      <c r="M265" s="13" t="s">
        <v>231</v>
      </c>
      <c r="N265" s="13" t="s">
        <v>230</v>
      </c>
      <c r="O265" s="13">
        <v>-2.5253309092521601</v>
      </c>
      <c r="P265" s="4">
        <f>O265/100</f>
        <v>-2.52533090925216E-2</v>
      </c>
      <c r="Q265" s="5">
        <f>S264</f>
        <v>13129.539639130267</v>
      </c>
      <c r="R265" s="5">
        <f>Q265*P265*$T$1</f>
        <v>-497.34648412420677</v>
      </c>
      <c r="S265" s="5">
        <f>R265+Q265</f>
        <v>12632.19315500606</v>
      </c>
      <c r="T265" s="5"/>
      <c r="U265" s="4"/>
      <c r="V265" s="13"/>
      <c r="W265" s="13"/>
      <c r="X265" s="13" t="s">
        <v>229</v>
      </c>
      <c r="Y265" s="13" t="s">
        <v>63</v>
      </c>
      <c r="Z265" s="13" t="s">
        <v>228</v>
      </c>
      <c r="AA265" s="13" t="s">
        <v>200</v>
      </c>
      <c r="AB265" s="12">
        <v>45962</v>
      </c>
    </row>
    <row r="266" spans="1:28" x14ac:dyDescent="0.3">
      <c r="A266" s="11">
        <v>265</v>
      </c>
      <c r="B266" s="9" t="s">
        <v>108</v>
      </c>
      <c r="C266" s="10">
        <v>45991.677083333336</v>
      </c>
      <c r="D266" s="10">
        <v>45991.833333333336</v>
      </c>
      <c r="E266" s="10">
        <v>45992.03125</v>
      </c>
      <c r="F266" s="9" t="s">
        <v>227</v>
      </c>
      <c r="G266" s="9" t="s">
        <v>226</v>
      </c>
      <c r="H266" s="9" t="s">
        <v>224</v>
      </c>
      <c r="I266" s="9" t="s">
        <v>225</v>
      </c>
      <c r="J266" s="9" t="s">
        <v>225</v>
      </c>
      <c r="K266" s="9" t="s">
        <v>224</v>
      </c>
      <c r="L266" s="9" t="s">
        <v>223</v>
      </c>
      <c r="M266" s="9" t="s">
        <v>222</v>
      </c>
      <c r="N266" s="9" t="s">
        <v>221</v>
      </c>
      <c r="O266" s="9">
        <v>10</v>
      </c>
      <c r="P266" s="4">
        <f>O266/100</f>
        <v>0.1</v>
      </c>
      <c r="Q266" s="5">
        <f>S265</f>
        <v>12632.19315500606</v>
      </c>
      <c r="R266" s="5">
        <f>Q266*P266*$T$1</f>
        <v>1894.8289732509093</v>
      </c>
      <c r="S266" s="5">
        <f>R266+Q266</f>
        <v>14527.022128256969</v>
      </c>
      <c r="T266" s="5"/>
      <c r="U266" s="4"/>
      <c r="V266" s="9"/>
      <c r="W266" s="9"/>
      <c r="X266" s="9" t="s">
        <v>220</v>
      </c>
      <c r="Y266" s="9" t="s">
        <v>2</v>
      </c>
      <c r="Z266" s="9" t="s">
        <v>219</v>
      </c>
      <c r="AA266" s="9" t="s">
        <v>218</v>
      </c>
      <c r="AB266" s="8">
        <v>45962</v>
      </c>
    </row>
    <row r="267" spans="1:28" x14ac:dyDescent="0.3">
      <c r="A267" s="15">
        <v>266</v>
      </c>
      <c r="B267" s="13" t="s">
        <v>22</v>
      </c>
      <c r="C267" s="14">
        <v>45991.59375</v>
      </c>
      <c r="D267" s="14">
        <v>45991.96875</v>
      </c>
      <c r="E267" s="14">
        <v>45992.020833333336</v>
      </c>
      <c r="F267" s="13" t="s">
        <v>217</v>
      </c>
      <c r="G267" s="13" t="s">
        <v>216</v>
      </c>
      <c r="H267" s="13" t="s">
        <v>214</v>
      </c>
      <c r="I267" s="13" t="s">
        <v>215</v>
      </c>
      <c r="J267" s="13" t="s">
        <v>215</v>
      </c>
      <c r="K267" s="13" t="s">
        <v>214</v>
      </c>
      <c r="L267" s="13" t="s">
        <v>213</v>
      </c>
      <c r="M267" s="13" t="s">
        <v>212</v>
      </c>
      <c r="N267" s="13" t="s">
        <v>211</v>
      </c>
      <c r="O267" s="13">
        <v>8</v>
      </c>
      <c r="P267" s="4">
        <f>O267/100</f>
        <v>0.08</v>
      </c>
      <c r="Q267" s="5">
        <f>S266</f>
        <v>14527.022128256969</v>
      </c>
      <c r="R267" s="5">
        <f>Q267*P267*$T$1</f>
        <v>1743.2426553908365</v>
      </c>
      <c r="S267" s="5">
        <f>R267+Q267</f>
        <v>16270.264783647806</v>
      </c>
      <c r="T267" s="5"/>
      <c r="U267" s="4"/>
      <c r="V267" s="13"/>
      <c r="W267" s="13"/>
      <c r="X267" s="13" t="s">
        <v>210</v>
      </c>
      <c r="Y267" s="13" t="s">
        <v>2</v>
      </c>
      <c r="Z267" s="13" t="s">
        <v>209</v>
      </c>
      <c r="AA267" s="13" t="s">
        <v>118</v>
      </c>
      <c r="AB267" s="12">
        <v>45962</v>
      </c>
    </row>
    <row r="268" spans="1:28" x14ac:dyDescent="0.3">
      <c r="A268" s="11">
        <v>267</v>
      </c>
      <c r="B268" s="9" t="s">
        <v>42</v>
      </c>
      <c r="C268" s="10">
        <v>45992.614583333336</v>
      </c>
      <c r="D268" s="10">
        <v>45992.65625</v>
      </c>
      <c r="E268" s="10">
        <v>45992.770833333336</v>
      </c>
      <c r="F268" s="9" t="s">
        <v>208</v>
      </c>
      <c r="G268" s="9" t="s">
        <v>207</v>
      </c>
      <c r="H268" s="9" t="s">
        <v>205</v>
      </c>
      <c r="I268" s="9" t="s">
        <v>206</v>
      </c>
      <c r="J268" s="9" t="s">
        <v>206</v>
      </c>
      <c r="K268" s="9" t="s">
        <v>205</v>
      </c>
      <c r="L268" s="9" t="s">
        <v>204</v>
      </c>
      <c r="M268" s="9" t="s">
        <v>203</v>
      </c>
      <c r="N268" s="9" t="s">
        <v>202</v>
      </c>
      <c r="O268" s="9">
        <v>-4.1708043694140802</v>
      </c>
      <c r="P268" s="4">
        <f>O268/100</f>
        <v>-4.1708043694140801E-2</v>
      </c>
      <c r="Q268" s="5">
        <f>S267</f>
        <v>16270.264783647806</v>
      </c>
      <c r="R268" s="5">
        <f>Q268*P268*$T$1</f>
        <v>-1017.9013717674345</v>
      </c>
      <c r="S268" s="5">
        <f>R268+Q268</f>
        <v>15252.363411880371</v>
      </c>
      <c r="T268" s="5"/>
      <c r="U268" s="4"/>
      <c r="V268" s="9"/>
      <c r="W268" s="9"/>
      <c r="X268" s="9" t="s">
        <v>201</v>
      </c>
      <c r="Y268" s="9" t="s">
        <v>63</v>
      </c>
      <c r="Z268" s="9" t="s">
        <v>200</v>
      </c>
      <c r="AA268" s="9" t="s">
        <v>173</v>
      </c>
      <c r="AB268" s="8">
        <v>45992</v>
      </c>
    </row>
    <row r="269" spans="1:28" x14ac:dyDescent="0.3">
      <c r="A269" s="15">
        <v>268</v>
      </c>
      <c r="B269" s="13" t="s">
        <v>108</v>
      </c>
      <c r="C269" s="14">
        <v>45993.770833333336</v>
      </c>
      <c r="D269" s="14">
        <v>45993.822916666664</v>
      </c>
      <c r="E269" s="14">
        <v>45996.6875</v>
      </c>
      <c r="F269" s="13" t="s">
        <v>199</v>
      </c>
      <c r="G269" s="13" t="s">
        <v>198</v>
      </c>
      <c r="H269" s="13" t="s">
        <v>196</v>
      </c>
      <c r="I269" s="13" t="s">
        <v>197</v>
      </c>
      <c r="J269" s="13" t="s">
        <v>197</v>
      </c>
      <c r="K269" s="13" t="s">
        <v>196</v>
      </c>
      <c r="L269" s="13" t="s">
        <v>195</v>
      </c>
      <c r="M269" s="13" t="s">
        <v>194</v>
      </c>
      <c r="N269" s="13" t="s">
        <v>193</v>
      </c>
      <c r="O269" s="13">
        <v>10</v>
      </c>
      <c r="P269" s="4">
        <f>O269/100</f>
        <v>0.1</v>
      </c>
      <c r="Q269" s="5">
        <f>S268</f>
        <v>15252.363411880371</v>
      </c>
      <c r="R269" s="5">
        <f>Q269*P269*$T$1</f>
        <v>2287.8545117820559</v>
      </c>
      <c r="S269" s="5">
        <f>R269+Q269</f>
        <v>17540.217923662429</v>
      </c>
      <c r="T269" s="5"/>
      <c r="U269" s="4"/>
      <c r="V269" s="13"/>
      <c r="W269" s="13"/>
      <c r="X269" s="13" t="s">
        <v>192</v>
      </c>
      <c r="Y269" s="13" t="s">
        <v>2</v>
      </c>
      <c r="Z269" s="13" t="s">
        <v>191</v>
      </c>
      <c r="AA269" s="13" t="s">
        <v>99</v>
      </c>
      <c r="AB269" s="12">
        <v>45992</v>
      </c>
    </row>
    <row r="270" spans="1:28" x14ac:dyDescent="0.3">
      <c r="A270" s="11">
        <v>269</v>
      </c>
      <c r="B270" s="9" t="s">
        <v>11</v>
      </c>
      <c r="C270" s="10">
        <v>45993.760416666664</v>
      </c>
      <c r="D270" s="10">
        <v>45993.854166666664</v>
      </c>
      <c r="E270" s="10">
        <v>45993.958333333336</v>
      </c>
      <c r="F270" s="9" t="s">
        <v>190</v>
      </c>
      <c r="G270" s="9" t="s">
        <v>189</v>
      </c>
      <c r="H270" s="9" t="s">
        <v>187</v>
      </c>
      <c r="I270" s="9" t="s">
        <v>188</v>
      </c>
      <c r="J270" s="9" t="s">
        <v>188</v>
      </c>
      <c r="K270" s="9" t="s">
        <v>187</v>
      </c>
      <c r="L270" s="9" t="s">
        <v>186</v>
      </c>
      <c r="M270" s="9" t="s">
        <v>185</v>
      </c>
      <c r="N270" s="9" t="s">
        <v>184</v>
      </c>
      <c r="O270" s="9">
        <v>-0.89267768992073804</v>
      </c>
      <c r="P270" s="4">
        <f>O270/100</f>
        <v>-8.9267768992073795E-3</v>
      </c>
      <c r="Q270" s="5">
        <f>S269</f>
        <v>17540.217923662429</v>
      </c>
      <c r="R270" s="5">
        <f>Q270*P270*$T$1</f>
        <v>-234.86641825201949</v>
      </c>
      <c r="S270" s="5">
        <f>R270+Q270</f>
        <v>17305.35150541041</v>
      </c>
      <c r="T270" s="5"/>
      <c r="U270" s="4"/>
      <c r="V270" s="9"/>
      <c r="W270" s="9"/>
      <c r="X270" s="9" t="s">
        <v>183</v>
      </c>
      <c r="Y270" s="9" t="s">
        <v>63</v>
      </c>
      <c r="Z270" s="9" t="s">
        <v>182</v>
      </c>
      <c r="AA270" s="9" t="s">
        <v>164</v>
      </c>
      <c r="AB270" s="8">
        <v>45992</v>
      </c>
    </row>
    <row r="271" spans="1:28" x14ac:dyDescent="0.3">
      <c r="A271" s="15">
        <v>270</v>
      </c>
      <c r="B271" s="13" t="s">
        <v>42</v>
      </c>
      <c r="C271" s="14">
        <v>45993.6875</v>
      </c>
      <c r="D271" s="14">
        <v>45993.9375</v>
      </c>
      <c r="E271" s="14">
        <v>45994.3125</v>
      </c>
      <c r="F271" s="13" t="s">
        <v>181</v>
      </c>
      <c r="G271" s="13" t="s">
        <v>180</v>
      </c>
      <c r="H271" s="13" t="s">
        <v>178</v>
      </c>
      <c r="I271" s="13" t="s">
        <v>179</v>
      </c>
      <c r="J271" s="13" t="s">
        <v>179</v>
      </c>
      <c r="K271" s="13" t="s">
        <v>178</v>
      </c>
      <c r="L271" s="13" t="s">
        <v>177</v>
      </c>
      <c r="M271" s="13" t="s">
        <v>176</v>
      </c>
      <c r="N271" s="13" t="s">
        <v>175</v>
      </c>
      <c r="O271" s="13">
        <v>8</v>
      </c>
      <c r="P271" s="4">
        <f>O271/100</f>
        <v>0.08</v>
      </c>
      <c r="Q271" s="5">
        <f>S270</f>
        <v>17305.35150541041</v>
      </c>
      <c r="R271" s="5">
        <f>Q271*P271*$T$1</f>
        <v>2076.6421806492494</v>
      </c>
      <c r="S271" s="5">
        <f>R271+Q271</f>
        <v>19381.993686059661</v>
      </c>
      <c r="T271" s="5"/>
      <c r="U271" s="4"/>
      <c r="V271" s="13"/>
      <c r="W271" s="13"/>
      <c r="X271" s="13" t="s">
        <v>174</v>
      </c>
      <c r="Y271" s="13" t="s">
        <v>2</v>
      </c>
      <c r="Z271" s="13" t="s">
        <v>173</v>
      </c>
      <c r="AA271" s="13" t="s">
        <v>155</v>
      </c>
      <c r="AB271" s="12">
        <v>45992</v>
      </c>
    </row>
    <row r="272" spans="1:28" x14ac:dyDescent="0.3">
      <c r="A272" s="11">
        <v>271</v>
      </c>
      <c r="B272" s="9" t="s">
        <v>11</v>
      </c>
      <c r="C272" s="10">
        <v>45994.260416666664</v>
      </c>
      <c r="D272" s="10">
        <v>45994.458333333336</v>
      </c>
      <c r="E272" s="10">
        <v>45994.90625</v>
      </c>
      <c r="F272" s="9" t="s">
        <v>172</v>
      </c>
      <c r="G272" s="9" t="s">
        <v>171</v>
      </c>
      <c r="H272" s="9" t="s">
        <v>169</v>
      </c>
      <c r="I272" s="9" t="s">
        <v>170</v>
      </c>
      <c r="J272" s="9" t="s">
        <v>170</v>
      </c>
      <c r="K272" s="9" t="s">
        <v>169</v>
      </c>
      <c r="L272" s="9" t="s">
        <v>168</v>
      </c>
      <c r="M272" s="9" t="s">
        <v>167</v>
      </c>
      <c r="N272" s="9" t="s">
        <v>166</v>
      </c>
      <c r="O272" s="9">
        <v>-1.6490525042494699</v>
      </c>
      <c r="P272" s="4">
        <f>O272/100</f>
        <v>-1.6490525042494698E-2</v>
      </c>
      <c r="Q272" s="5">
        <f>S271</f>
        <v>19381.993686059661</v>
      </c>
      <c r="R272" s="5">
        <f>Q272*P272*$T$1</f>
        <v>-479.42887838016145</v>
      </c>
      <c r="S272" s="5">
        <f>R272+Q272</f>
        <v>18902.564807679501</v>
      </c>
      <c r="T272" s="5"/>
      <c r="U272" s="4"/>
      <c r="V272" s="9"/>
      <c r="W272" s="9"/>
      <c r="X272" s="9" t="s">
        <v>165</v>
      </c>
      <c r="Y272" s="9" t="s">
        <v>63</v>
      </c>
      <c r="Z272" s="9" t="s">
        <v>164</v>
      </c>
      <c r="AA272" s="9" t="s">
        <v>146</v>
      </c>
      <c r="AB272" s="8">
        <v>45992</v>
      </c>
    </row>
    <row r="273" spans="1:28" x14ac:dyDescent="0.3">
      <c r="A273" s="15">
        <v>272</v>
      </c>
      <c r="B273" s="13" t="s">
        <v>42</v>
      </c>
      <c r="C273" s="14">
        <v>45997.604166666664</v>
      </c>
      <c r="D273" s="14">
        <v>45997.90625</v>
      </c>
      <c r="E273" s="14">
        <v>45998.260416666664</v>
      </c>
      <c r="F273" s="13" t="s">
        <v>163</v>
      </c>
      <c r="G273" s="13" t="s">
        <v>162</v>
      </c>
      <c r="H273" s="13" t="s">
        <v>160</v>
      </c>
      <c r="I273" s="13" t="s">
        <v>161</v>
      </c>
      <c r="J273" s="13" t="s">
        <v>161</v>
      </c>
      <c r="K273" s="13" t="s">
        <v>160</v>
      </c>
      <c r="L273" s="13" t="s">
        <v>159</v>
      </c>
      <c r="M273" s="13" t="s">
        <v>158</v>
      </c>
      <c r="N273" s="13" t="s">
        <v>157</v>
      </c>
      <c r="O273" s="13">
        <v>-8.1699101796407092</v>
      </c>
      <c r="P273" s="4">
        <f>O273/100</f>
        <v>-8.1699101796407089E-2</v>
      </c>
      <c r="Q273" s="5">
        <f>S272</f>
        <v>18902.564807679501</v>
      </c>
      <c r="R273" s="5">
        <f>Q273*P273*$T$1</f>
        <v>-2316.4838496536845</v>
      </c>
      <c r="S273" s="5">
        <f>R273+Q273</f>
        <v>16586.080958025817</v>
      </c>
      <c r="T273" s="5"/>
      <c r="U273" s="4"/>
      <c r="V273" s="13"/>
      <c r="W273" s="13"/>
      <c r="X273" s="13" t="s">
        <v>156</v>
      </c>
      <c r="Y273" s="13" t="s">
        <v>63</v>
      </c>
      <c r="Z273" s="13" t="s">
        <v>155</v>
      </c>
      <c r="AA273" s="13" t="s">
        <v>127</v>
      </c>
      <c r="AB273" s="12">
        <v>45992</v>
      </c>
    </row>
    <row r="274" spans="1:28" x14ac:dyDescent="0.3">
      <c r="A274" s="11">
        <v>273</v>
      </c>
      <c r="B274" s="9" t="s">
        <v>11</v>
      </c>
      <c r="C274" s="10">
        <v>45998.760416666664</v>
      </c>
      <c r="D274" s="10">
        <v>45998.90625</v>
      </c>
      <c r="E274" s="10">
        <v>45999.375</v>
      </c>
      <c r="F274" s="9" t="s">
        <v>154</v>
      </c>
      <c r="G274" s="9" t="s">
        <v>153</v>
      </c>
      <c r="H274" s="9" t="s">
        <v>151</v>
      </c>
      <c r="I274" s="9" t="s">
        <v>152</v>
      </c>
      <c r="J274" s="9" t="s">
        <v>152</v>
      </c>
      <c r="K274" s="9" t="s">
        <v>151</v>
      </c>
      <c r="L274" s="9" t="s">
        <v>150</v>
      </c>
      <c r="M274" s="9" t="s">
        <v>149</v>
      </c>
      <c r="N274" s="9" t="s">
        <v>148</v>
      </c>
      <c r="O274" s="9">
        <v>-2.75284802190439</v>
      </c>
      <c r="P274" s="4">
        <f>O274/100</f>
        <v>-2.7528480219043902E-2</v>
      </c>
      <c r="Q274" s="5">
        <f>S273</f>
        <v>16586.080958025817</v>
      </c>
      <c r="R274" s="5">
        <f>Q274*P274*$T$1</f>
        <v>-684.88440234671168</v>
      </c>
      <c r="S274" s="5">
        <f>R274+Q274</f>
        <v>15901.196555679106</v>
      </c>
      <c r="T274" s="5"/>
      <c r="U274" s="4"/>
      <c r="V274" s="9"/>
      <c r="W274" s="9"/>
      <c r="X274" s="9" t="s">
        <v>147</v>
      </c>
      <c r="Y274" s="9" t="s">
        <v>63</v>
      </c>
      <c r="Z274" s="9" t="s">
        <v>146</v>
      </c>
      <c r="AA274" s="9" t="s">
        <v>137</v>
      </c>
      <c r="AB274" s="8">
        <v>45992</v>
      </c>
    </row>
    <row r="275" spans="1:28" x14ac:dyDescent="0.3">
      <c r="A275" s="15">
        <v>274</v>
      </c>
      <c r="B275" s="13" t="s">
        <v>11</v>
      </c>
      <c r="C275" s="14">
        <v>45999.458333333336</v>
      </c>
      <c r="D275" s="14">
        <v>45999.541666666664</v>
      </c>
      <c r="E275" s="14">
        <v>45999.572916666664</v>
      </c>
      <c r="F275" s="13" t="s">
        <v>145</v>
      </c>
      <c r="G275" s="13" t="s">
        <v>144</v>
      </c>
      <c r="H275" s="13" t="s">
        <v>142</v>
      </c>
      <c r="I275" s="13" t="s">
        <v>143</v>
      </c>
      <c r="J275" s="13" t="s">
        <v>143</v>
      </c>
      <c r="K275" s="13" t="s">
        <v>142</v>
      </c>
      <c r="L275" s="13" t="s">
        <v>141</v>
      </c>
      <c r="M275" s="13" t="s">
        <v>140</v>
      </c>
      <c r="N275" s="13" t="s">
        <v>139</v>
      </c>
      <c r="O275" s="13">
        <v>-0.121112646683899</v>
      </c>
      <c r="P275" s="4">
        <f>O275/100</f>
        <v>-1.2111264668389901E-3</v>
      </c>
      <c r="Q275" s="5">
        <f>S274</f>
        <v>15901.196555679106</v>
      </c>
      <c r="R275" s="5">
        <f>Q275*P275*$T$1</f>
        <v>-28.887540004487931</v>
      </c>
      <c r="S275" s="5">
        <f>R275+Q275</f>
        <v>15872.309015674618</v>
      </c>
      <c r="T275" s="5"/>
      <c r="U275" s="4"/>
      <c r="V275" s="13"/>
      <c r="W275" s="13"/>
      <c r="X275" s="13" t="s">
        <v>138</v>
      </c>
      <c r="Y275" s="13" t="s">
        <v>63</v>
      </c>
      <c r="Z275" s="13" t="s">
        <v>137</v>
      </c>
      <c r="AA275" s="13" t="s">
        <v>136</v>
      </c>
      <c r="AB275" s="12">
        <v>45992</v>
      </c>
    </row>
    <row r="276" spans="1:28" x14ac:dyDescent="0.3">
      <c r="A276" s="11">
        <v>275</v>
      </c>
      <c r="B276" s="9" t="s">
        <v>42</v>
      </c>
      <c r="C276" s="10">
        <v>45999.229166666664</v>
      </c>
      <c r="D276" s="10">
        <v>45999.625</v>
      </c>
      <c r="E276" s="10">
        <v>46000.0625</v>
      </c>
      <c r="F276" s="9" t="s">
        <v>135</v>
      </c>
      <c r="G276" s="9" t="s">
        <v>134</v>
      </c>
      <c r="H276" s="9" t="s">
        <v>132</v>
      </c>
      <c r="I276" s="9" t="s">
        <v>133</v>
      </c>
      <c r="J276" s="9" t="s">
        <v>133</v>
      </c>
      <c r="K276" s="9" t="s">
        <v>132</v>
      </c>
      <c r="L276" s="9" t="s">
        <v>131</v>
      </c>
      <c r="M276" s="9" t="s">
        <v>130</v>
      </c>
      <c r="N276" s="9" t="s">
        <v>129</v>
      </c>
      <c r="O276" s="9">
        <v>8</v>
      </c>
      <c r="P276" s="4">
        <f>O276/100</f>
        <v>0.08</v>
      </c>
      <c r="Q276" s="5">
        <f>S275</f>
        <v>15872.309015674618</v>
      </c>
      <c r="R276" s="5">
        <f>Q276*P276*$T$1</f>
        <v>1904.6770818809543</v>
      </c>
      <c r="S276" s="5">
        <f>R276+Q276</f>
        <v>17776.986097555571</v>
      </c>
      <c r="T276" s="5"/>
      <c r="U276" s="4"/>
      <c r="V276" s="9"/>
      <c r="W276" s="9"/>
      <c r="X276" s="9" t="s">
        <v>128</v>
      </c>
      <c r="Y276" s="9" t="s">
        <v>2</v>
      </c>
      <c r="Z276" s="9" t="s">
        <v>127</v>
      </c>
      <c r="AA276" s="9" t="s">
        <v>81</v>
      </c>
      <c r="AB276" s="8">
        <v>45992</v>
      </c>
    </row>
    <row r="277" spans="1:28" x14ac:dyDescent="0.3">
      <c r="A277" s="15">
        <v>276</v>
      </c>
      <c r="B277" s="13" t="s">
        <v>22</v>
      </c>
      <c r="C277" s="14">
        <v>45999.885416666664</v>
      </c>
      <c r="D277" s="14">
        <v>46000</v>
      </c>
      <c r="E277" s="14">
        <v>46001.3125</v>
      </c>
      <c r="F277" s="13" t="s">
        <v>126</v>
      </c>
      <c r="G277" s="13" t="s">
        <v>125</v>
      </c>
      <c r="H277" s="13" t="s">
        <v>123</v>
      </c>
      <c r="I277" s="13" t="s">
        <v>124</v>
      </c>
      <c r="J277" s="13" t="s">
        <v>124</v>
      </c>
      <c r="K277" s="13" t="s">
        <v>123</v>
      </c>
      <c r="L277" s="13" t="s">
        <v>122</v>
      </c>
      <c r="M277" s="13" t="s">
        <v>121</v>
      </c>
      <c r="N277" s="13" t="s">
        <v>120</v>
      </c>
      <c r="O277" s="13">
        <v>8</v>
      </c>
      <c r="P277" s="4">
        <f>O277/100</f>
        <v>0.08</v>
      </c>
      <c r="Q277" s="5">
        <f>S276</f>
        <v>17776.986097555571</v>
      </c>
      <c r="R277" s="5">
        <f>Q277*P277*$T$1</f>
        <v>2133.2383317066683</v>
      </c>
      <c r="S277" s="5">
        <f>R277+Q277</f>
        <v>19910.224429262238</v>
      </c>
      <c r="T277" s="5"/>
      <c r="U277" s="4"/>
      <c r="V277" s="13"/>
      <c r="W277" s="13"/>
      <c r="X277" s="13" t="s">
        <v>119</v>
      </c>
      <c r="Y277" s="13" t="s">
        <v>2</v>
      </c>
      <c r="Z277" s="13" t="s">
        <v>118</v>
      </c>
      <c r="AA277" s="13" t="s">
        <v>89</v>
      </c>
      <c r="AB277" s="12">
        <v>45992</v>
      </c>
    </row>
    <row r="278" spans="1:28" x14ac:dyDescent="0.3">
      <c r="A278" s="11">
        <v>277</v>
      </c>
      <c r="B278" s="9" t="s">
        <v>11</v>
      </c>
      <c r="C278" s="10">
        <v>46000.760416666664</v>
      </c>
      <c r="D278" s="10">
        <v>46000.8125</v>
      </c>
      <c r="E278" s="10">
        <v>46001.927083333336</v>
      </c>
      <c r="F278" s="9" t="s">
        <v>117</v>
      </c>
      <c r="G278" s="9" t="s">
        <v>116</v>
      </c>
      <c r="H278" s="9" t="s">
        <v>114</v>
      </c>
      <c r="I278" s="9" t="s">
        <v>115</v>
      </c>
      <c r="J278" s="9" t="s">
        <v>115</v>
      </c>
      <c r="K278" s="9" t="s">
        <v>114</v>
      </c>
      <c r="L278" s="9" t="s">
        <v>113</v>
      </c>
      <c r="M278" s="9" t="s">
        <v>112</v>
      </c>
      <c r="N278" s="9" t="s">
        <v>111</v>
      </c>
      <c r="O278" s="9">
        <v>6</v>
      </c>
      <c r="P278" s="4">
        <f>O278/100</f>
        <v>0.06</v>
      </c>
      <c r="Q278" s="5">
        <f>S277</f>
        <v>19910.224429262238</v>
      </c>
      <c r="R278" s="5">
        <f>Q278*P278*$T$1</f>
        <v>1791.9201986336016</v>
      </c>
      <c r="S278" s="5">
        <f>R278+Q278</f>
        <v>21702.144627895839</v>
      </c>
      <c r="T278" s="5"/>
      <c r="U278" s="4"/>
      <c r="V278" s="9"/>
      <c r="W278" s="9"/>
      <c r="X278" s="9" t="s">
        <v>110</v>
      </c>
      <c r="Y278" s="9" t="s">
        <v>2</v>
      </c>
      <c r="Z278" s="9" t="s">
        <v>109</v>
      </c>
      <c r="AA278" s="9" t="s">
        <v>72</v>
      </c>
      <c r="AB278" s="8">
        <v>45992</v>
      </c>
    </row>
    <row r="279" spans="1:28" x14ac:dyDescent="0.3">
      <c r="A279" s="15">
        <v>278</v>
      </c>
      <c r="B279" s="13" t="s">
        <v>108</v>
      </c>
      <c r="C279" s="14">
        <v>46000.729166666664</v>
      </c>
      <c r="D279" s="14">
        <v>46000.84375</v>
      </c>
      <c r="E279" s="14">
        <v>46002.645833333336</v>
      </c>
      <c r="F279" s="13" t="s">
        <v>107</v>
      </c>
      <c r="G279" s="13" t="s">
        <v>106</v>
      </c>
      <c r="H279" s="13" t="s">
        <v>104</v>
      </c>
      <c r="I279" s="13" t="s">
        <v>105</v>
      </c>
      <c r="J279" s="13" t="s">
        <v>105</v>
      </c>
      <c r="K279" s="13" t="s">
        <v>104</v>
      </c>
      <c r="L279" s="13" t="s">
        <v>103</v>
      </c>
      <c r="M279" s="13" t="s">
        <v>102</v>
      </c>
      <c r="N279" s="13" t="s">
        <v>101</v>
      </c>
      <c r="O279" s="13">
        <v>-1.1048648122459901</v>
      </c>
      <c r="P279" s="4">
        <f>O279/100</f>
        <v>-1.1048648122459901E-2</v>
      </c>
      <c r="Q279" s="5">
        <f>S278</f>
        <v>21702.144627895839</v>
      </c>
      <c r="R279" s="5">
        <f>Q279*P279*$T$1</f>
        <v>-359.66903924453192</v>
      </c>
      <c r="S279" s="5">
        <f>R279+Q279</f>
        <v>21342.475588651308</v>
      </c>
      <c r="T279" s="5"/>
      <c r="U279" s="4"/>
      <c r="V279" s="13"/>
      <c r="W279" s="13"/>
      <c r="X279" s="13" t="s">
        <v>100</v>
      </c>
      <c r="Y279" s="13" t="s">
        <v>63</v>
      </c>
      <c r="Z279" s="13" t="s">
        <v>99</v>
      </c>
      <c r="AA279" s="13" t="s">
        <v>98</v>
      </c>
      <c r="AB279" s="12">
        <v>45992</v>
      </c>
    </row>
    <row r="280" spans="1:28" x14ac:dyDescent="0.3">
      <c r="A280" s="11">
        <v>279</v>
      </c>
      <c r="B280" s="9" t="s">
        <v>22</v>
      </c>
      <c r="C280" s="10">
        <v>46000.46875</v>
      </c>
      <c r="D280" s="10">
        <v>46001.3125</v>
      </c>
      <c r="E280" s="10">
        <v>46004.59375</v>
      </c>
      <c r="F280" s="9" t="s">
        <v>97</v>
      </c>
      <c r="G280" s="9" t="s">
        <v>96</v>
      </c>
      <c r="H280" s="9" t="s">
        <v>94</v>
      </c>
      <c r="I280" s="9" t="s">
        <v>95</v>
      </c>
      <c r="J280" s="9" t="s">
        <v>95</v>
      </c>
      <c r="K280" s="9" t="s">
        <v>94</v>
      </c>
      <c r="L280" s="9" t="s">
        <v>93</v>
      </c>
      <c r="M280" s="9" t="s">
        <v>92</v>
      </c>
      <c r="N280" s="9" t="s">
        <v>91</v>
      </c>
      <c r="O280" s="9">
        <v>8</v>
      </c>
      <c r="P280" s="4">
        <f>O280/100</f>
        <v>0.08</v>
      </c>
      <c r="Q280" s="5">
        <f>S279</f>
        <v>21342.475588651308</v>
      </c>
      <c r="R280" s="5">
        <f>Q280*P280*$T$1</f>
        <v>2561.0970706381568</v>
      </c>
      <c r="S280" s="5">
        <f>R280+Q280</f>
        <v>23903.572659289464</v>
      </c>
      <c r="T280" s="5"/>
      <c r="U280" s="4"/>
      <c r="V280" s="9"/>
      <c r="W280" s="9"/>
      <c r="X280" s="9" t="s">
        <v>90</v>
      </c>
      <c r="Y280" s="9" t="s">
        <v>2</v>
      </c>
      <c r="Z280" s="9" t="s">
        <v>89</v>
      </c>
      <c r="AA280" s="9" t="s">
        <v>62</v>
      </c>
      <c r="AB280" s="8">
        <v>45992</v>
      </c>
    </row>
    <row r="281" spans="1:28" x14ac:dyDescent="0.3">
      <c r="A281" s="15">
        <v>280</v>
      </c>
      <c r="B281" s="13" t="s">
        <v>42</v>
      </c>
      <c r="C281" s="14">
        <v>46001.854166666664</v>
      </c>
      <c r="D281" s="14">
        <v>46001.864583333336</v>
      </c>
      <c r="E281" s="14">
        <v>46002.010416666664</v>
      </c>
      <c r="F281" s="13" t="s">
        <v>88</v>
      </c>
      <c r="G281" s="13" t="s">
        <v>40</v>
      </c>
      <c r="H281" s="13" t="s">
        <v>86</v>
      </c>
      <c r="I281" s="13" t="s">
        <v>87</v>
      </c>
      <c r="J281" s="13" t="s">
        <v>87</v>
      </c>
      <c r="K281" s="13" t="s">
        <v>86</v>
      </c>
      <c r="L281" s="13" t="s">
        <v>85</v>
      </c>
      <c r="M281" s="13" t="s">
        <v>84</v>
      </c>
      <c r="N281" s="13" t="s">
        <v>83</v>
      </c>
      <c r="O281" s="13">
        <v>8</v>
      </c>
      <c r="P281" s="4">
        <f>O281/100</f>
        <v>0.08</v>
      </c>
      <c r="Q281" s="5">
        <f>S280</f>
        <v>23903.572659289464</v>
      </c>
      <c r="R281" s="5">
        <f>Q281*P281*$T$1</f>
        <v>2868.4287191147359</v>
      </c>
      <c r="S281" s="5">
        <f>R281+Q281</f>
        <v>26772.001378404202</v>
      </c>
      <c r="T281" s="5"/>
      <c r="U281" s="4"/>
      <c r="V281" s="13"/>
      <c r="W281" s="13"/>
      <c r="X281" s="13" t="s">
        <v>82</v>
      </c>
      <c r="Y281" s="13" t="s">
        <v>2</v>
      </c>
      <c r="Z281" s="13" t="s">
        <v>81</v>
      </c>
      <c r="AA281" s="13" t="s">
        <v>33</v>
      </c>
      <c r="AB281" s="12">
        <v>45992</v>
      </c>
    </row>
    <row r="282" spans="1:28" x14ac:dyDescent="0.3">
      <c r="A282" s="11">
        <v>281</v>
      </c>
      <c r="B282" s="9" t="s">
        <v>11</v>
      </c>
      <c r="C282" s="10">
        <v>46001.833333333336</v>
      </c>
      <c r="D282" s="10">
        <v>46001.875</v>
      </c>
      <c r="E282" s="10">
        <v>46002.125</v>
      </c>
      <c r="F282" s="9" t="s">
        <v>80</v>
      </c>
      <c r="G282" s="9" t="s">
        <v>79</v>
      </c>
      <c r="H282" s="9" t="s">
        <v>77</v>
      </c>
      <c r="I282" s="9" t="s">
        <v>78</v>
      </c>
      <c r="J282" s="9" t="s">
        <v>78</v>
      </c>
      <c r="K282" s="9" t="s">
        <v>77</v>
      </c>
      <c r="L282" s="9" t="s">
        <v>76</v>
      </c>
      <c r="M282" s="9" t="s">
        <v>75</v>
      </c>
      <c r="N282" s="9" t="s">
        <v>74</v>
      </c>
      <c r="O282" s="9">
        <v>6</v>
      </c>
      <c r="P282" s="4">
        <f>O282/100</f>
        <v>0.06</v>
      </c>
      <c r="Q282" s="5">
        <f>S281</f>
        <v>26772.001378404202</v>
      </c>
      <c r="R282" s="5">
        <f>Q282*P282*$T$1</f>
        <v>2409.4801240563784</v>
      </c>
      <c r="S282" s="5">
        <f>R282+Q282</f>
        <v>29181.481502460581</v>
      </c>
      <c r="T282" s="5"/>
      <c r="U282" s="4"/>
      <c r="V282" s="9"/>
      <c r="W282" s="9"/>
      <c r="X282" s="9" t="s">
        <v>73</v>
      </c>
      <c r="Y282" s="9" t="s">
        <v>2</v>
      </c>
      <c r="Z282" s="9" t="s">
        <v>72</v>
      </c>
      <c r="AA282" s="9" t="s">
        <v>44</v>
      </c>
      <c r="AB282" s="8">
        <v>45992</v>
      </c>
    </row>
    <row r="283" spans="1:28" x14ac:dyDescent="0.3">
      <c r="A283" s="15">
        <v>282</v>
      </c>
      <c r="B283" s="13" t="s">
        <v>22</v>
      </c>
      <c r="C283" s="14">
        <v>46001.84375</v>
      </c>
      <c r="D283" s="14">
        <v>46002.03125</v>
      </c>
      <c r="E283" s="14">
        <v>46002.364583333336</v>
      </c>
      <c r="F283" s="13" t="s">
        <v>71</v>
      </c>
      <c r="G283" s="13" t="s">
        <v>70</v>
      </c>
      <c r="H283" s="13" t="s">
        <v>68</v>
      </c>
      <c r="I283" s="13" t="s">
        <v>69</v>
      </c>
      <c r="J283" s="13" t="s">
        <v>69</v>
      </c>
      <c r="K283" s="13" t="s">
        <v>68</v>
      </c>
      <c r="L283" s="13" t="s">
        <v>67</v>
      </c>
      <c r="M283" s="13" t="s">
        <v>66</v>
      </c>
      <c r="N283" s="13" t="s">
        <v>65</v>
      </c>
      <c r="O283" s="13">
        <v>-6.1581826901431898</v>
      </c>
      <c r="P283" s="4">
        <f>O283/100</f>
        <v>-6.1581826901431901E-2</v>
      </c>
      <c r="Q283" s="5">
        <f>S282</f>
        <v>29181.481502460581</v>
      </c>
      <c r="R283" s="5">
        <f>Q283*P283*$T$1</f>
        <v>-2695.5734139177966</v>
      </c>
      <c r="S283" s="5">
        <f>R283+Q283</f>
        <v>26485.908088542783</v>
      </c>
      <c r="T283" s="5"/>
      <c r="U283" s="4"/>
      <c r="V283" s="13"/>
      <c r="W283" s="13"/>
      <c r="X283" s="13" t="s">
        <v>64</v>
      </c>
      <c r="Y283" s="13" t="s">
        <v>63</v>
      </c>
      <c r="Z283" s="13" t="s">
        <v>62</v>
      </c>
      <c r="AA283" s="13" t="s">
        <v>53</v>
      </c>
      <c r="AB283" s="12">
        <v>45992</v>
      </c>
    </row>
    <row r="284" spans="1:28" x14ac:dyDescent="0.3">
      <c r="A284" s="11">
        <v>283</v>
      </c>
      <c r="B284" s="9" t="s">
        <v>22</v>
      </c>
      <c r="C284" s="10">
        <v>46002.364583333336</v>
      </c>
      <c r="D284" s="10">
        <v>46002.770833333336</v>
      </c>
      <c r="E284" s="10">
        <v>46005.15625</v>
      </c>
      <c r="F284" s="9" t="s">
        <v>61</v>
      </c>
      <c r="G284" s="9" t="s">
        <v>60</v>
      </c>
      <c r="H284" s="9" t="s">
        <v>58</v>
      </c>
      <c r="I284" s="9" t="s">
        <v>59</v>
      </c>
      <c r="J284" s="9" t="s">
        <v>59</v>
      </c>
      <c r="K284" s="9" t="s">
        <v>58</v>
      </c>
      <c r="L284" s="9" t="s">
        <v>57</v>
      </c>
      <c r="M284" s="9" t="s">
        <v>56</v>
      </c>
      <c r="N284" s="9" t="s">
        <v>55</v>
      </c>
      <c r="O284" s="9">
        <v>8</v>
      </c>
      <c r="P284" s="4">
        <f>O284/100</f>
        <v>0.08</v>
      </c>
      <c r="Q284" s="5">
        <f>S283</f>
        <v>26485.908088542783</v>
      </c>
      <c r="R284" s="5">
        <f>Q284*P284*$T$1</f>
        <v>3178.308970625134</v>
      </c>
      <c r="S284" s="5">
        <f>R284+Q284</f>
        <v>29664.217059167917</v>
      </c>
      <c r="T284" s="5"/>
      <c r="U284" s="4"/>
      <c r="V284" s="9"/>
      <c r="W284" s="9"/>
      <c r="X284" s="9" t="s">
        <v>54</v>
      </c>
      <c r="Y284" s="9" t="s">
        <v>2</v>
      </c>
      <c r="Z284" s="9" t="s">
        <v>53</v>
      </c>
      <c r="AA284" s="9" t="s">
        <v>13</v>
      </c>
      <c r="AB284" s="8">
        <v>45992</v>
      </c>
    </row>
    <row r="285" spans="1:28" x14ac:dyDescent="0.3">
      <c r="A285" s="15">
        <v>284</v>
      </c>
      <c r="B285" s="13" t="s">
        <v>11</v>
      </c>
      <c r="C285" s="14">
        <v>46002.895833333336</v>
      </c>
      <c r="D285" s="14">
        <v>46003.03125</v>
      </c>
      <c r="E285" s="14">
        <v>46006.635416666664</v>
      </c>
      <c r="F285" s="13" t="s">
        <v>52</v>
      </c>
      <c r="G285" s="13" t="s">
        <v>51</v>
      </c>
      <c r="H285" s="13" t="s">
        <v>49</v>
      </c>
      <c r="I285" s="13" t="s">
        <v>50</v>
      </c>
      <c r="J285" s="13" t="s">
        <v>50</v>
      </c>
      <c r="K285" s="13" t="s">
        <v>49</v>
      </c>
      <c r="L285" s="13" t="s">
        <v>48</v>
      </c>
      <c r="M285" s="13" t="s">
        <v>47</v>
      </c>
      <c r="N285" s="13" t="s">
        <v>46</v>
      </c>
      <c r="O285" s="13">
        <v>6</v>
      </c>
      <c r="P285" s="4">
        <f>O285/100</f>
        <v>0.06</v>
      </c>
      <c r="Q285" s="5">
        <f>S284</f>
        <v>29664.217059167917</v>
      </c>
      <c r="R285" s="5">
        <f>Q285*P285*$T$1</f>
        <v>2669.7795353251126</v>
      </c>
      <c r="S285" s="5">
        <f>R285+Q285</f>
        <v>32333.99659449303</v>
      </c>
      <c r="T285" s="5"/>
      <c r="U285" s="4"/>
      <c r="V285" s="13"/>
      <c r="W285" s="13"/>
      <c r="X285" s="13" t="s">
        <v>45</v>
      </c>
      <c r="Y285" s="13" t="s">
        <v>2</v>
      </c>
      <c r="Z285" s="13" t="s">
        <v>44</v>
      </c>
      <c r="AA285" s="13" t="s">
        <v>43</v>
      </c>
      <c r="AB285" s="12">
        <v>45992</v>
      </c>
    </row>
    <row r="286" spans="1:28" x14ac:dyDescent="0.3">
      <c r="A286" s="11">
        <v>285</v>
      </c>
      <c r="B286" s="9" t="s">
        <v>42</v>
      </c>
      <c r="C286" s="10">
        <v>46003.145833333336</v>
      </c>
      <c r="D286" s="10">
        <v>46003.635416666664</v>
      </c>
      <c r="E286" s="10">
        <v>46005.90625</v>
      </c>
      <c r="F286" s="9" t="s">
        <v>41</v>
      </c>
      <c r="G286" s="9" t="s">
        <v>40</v>
      </c>
      <c r="H286" s="9" t="s">
        <v>38</v>
      </c>
      <c r="I286" s="9" t="s">
        <v>39</v>
      </c>
      <c r="J286" s="9" t="s">
        <v>39</v>
      </c>
      <c r="K286" s="9" t="s">
        <v>38</v>
      </c>
      <c r="L286" s="9" t="s">
        <v>37</v>
      </c>
      <c r="M286" s="9" t="s">
        <v>36</v>
      </c>
      <c r="N286" s="9" t="s">
        <v>35</v>
      </c>
      <c r="O286" s="9">
        <v>8</v>
      </c>
      <c r="P286" s="4">
        <f>O286/100</f>
        <v>0.08</v>
      </c>
      <c r="Q286" s="5">
        <f>S285</f>
        <v>32333.99659449303</v>
      </c>
      <c r="R286" s="5">
        <f>Q286*P286*$T$1</f>
        <v>3880.0795913391639</v>
      </c>
      <c r="S286" s="5">
        <f>R286+Q286</f>
        <v>36214.076185832193</v>
      </c>
      <c r="T286" s="5"/>
      <c r="U286" s="4"/>
      <c r="V286" s="9"/>
      <c r="W286" s="9"/>
      <c r="X286" s="9" t="s">
        <v>34</v>
      </c>
      <c r="Y286" s="9" t="s">
        <v>2</v>
      </c>
      <c r="Z286" s="9" t="s">
        <v>33</v>
      </c>
      <c r="AA286" s="9" t="s">
        <v>32</v>
      </c>
      <c r="AB286" s="8">
        <v>45992</v>
      </c>
    </row>
    <row r="287" spans="1:28" x14ac:dyDescent="0.3">
      <c r="A287" s="15">
        <v>286</v>
      </c>
      <c r="B287" s="13" t="s">
        <v>11</v>
      </c>
      <c r="C287" s="14">
        <v>46004.447916666664</v>
      </c>
      <c r="D287" s="14">
        <v>46004.895833333336</v>
      </c>
      <c r="E287" s="14">
        <v>46006.645833333336</v>
      </c>
      <c r="F287" s="13" t="s">
        <v>31</v>
      </c>
      <c r="G287" s="13" t="s">
        <v>30</v>
      </c>
      <c r="H287" s="13" t="s">
        <v>28</v>
      </c>
      <c r="I287" s="13" t="s">
        <v>29</v>
      </c>
      <c r="J287" s="13" t="s">
        <v>29</v>
      </c>
      <c r="K287" s="13" t="s">
        <v>28</v>
      </c>
      <c r="L287" s="13" t="s">
        <v>27</v>
      </c>
      <c r="M287" s="13" t="s">
        <v>26</v>
      </c>
      <c r="N287" s="13" t="s">
        <v>25</v>
      </c>
      <c r="O287" s="13">
        <v>6</v>
      </c>
      <c r="P287" s="4">
        <f>O287/100</f>
        <v>0.06</v>
      </c>
      <c r="Q287" s="5">
        <f>S286</f>
        <v>36214.076185832193</v>
      </c>
      <c r="R287" s="5">
        <f>Q287*P287*$T$1</f>
        <v>3259.2668567248975</v>
      </c>
      <c r="S287" s="5">
        <f>R287+Q287</f>
        <v>39473.343042557091</v>
      </c>
      <c r="T287" s="5"/>
      <c r="U287" s="4"/>
      <c r="V287" s="13"/>
      <c r="W287" s="13"/>
      <c r="X287" s="13" t="s">
        <v>24</v>
      </c>
      <c r="Y287" s="13" t="s">
        <v>2</v>
      </c>
      <c r="Z287" s="13" t="s">
        <v>23</v>
      </c>
      <c r="AA287" s="13" t="s">
        <v>1</v>
      </c>
      <c r="AB287" s="12">
        <v>45992</v>
      </c>
    </row>
    <row r="288" spans="1:28" x14ac:dyDescent="0.3">
      <c r="A288" s="11">
        <v>287</v>
      </c>
      <c r="B288" s="9" t="s">
        <v>22</v>
      </c>
      <c r="C288" s="10">
        <v>46006.239583333336</v>
      </c>
      <c r="D288" s="10">
        <v>46006.520833333336</v>
      </c>
      <c r="E288" s="10">
        <v>46006.75</v>
      </c>
      <c r="F288" s="9" t="s">
        <v>21</v>
      </c>
      <c r="G288" s="9" t="s">
        <v>20</v>
      </c>
      <c r="H288" s="9" t="s">
        <v>18</v>
      </c>
      <c r="I288" s="9" t="s">
        <v>19</v>
      </c>
      <c r="J288" s="9" t="s">
        <v>19</v>
      </c>
      <c r="K288" s="9" t="s">
        <v>18</v>
      </c>
      <c r="L288" s="9" t="s">
        <v>17</v>
      </c>
      <c r="M288" s="9" t="s">
        <v>16</v>
      </c>
      <c r="N288" s="9" t="s">
        <v>15</v>
      </c>
      <c r="O288" s="9">
        <v>8</v>
      </c>
      <c r="P288" s="4">
        <f>O288/100</f>
        <v>0.08</v>
      </c>
      <c r="Q288" s="5">
        <f>S287</f>
        <v>39473.343042557091</v>
      </c>
      <c r="R288" s="5">
        <f>Q288*P288*$T$1</f>
        <v>4736.8011651068509</v>
      </c>
      <c r="S288" s="5">
        <f>R288+Q288</f>
        <v>44210.144207663943</v>
      </c>
      <c r="T288" s="5"/>
      <c r="U288" s="4"/>
      <c r="V288" s="9"/>
      <c r="W288" s="9"/>
      <c r="X288" s="9" t="s">
        <v>14</v>
      </c>
      <c r="Y288" s="9" t="s">
        <v>2</v>
      </c>
      <c r="Z288" s="9" t="s">
        <v>13</v>
      </c>
      <c r="AA288" s="9" t="s">
        <v>12</v>
      </c>
      <c r="AB288" s="8">
        <v>45992</v>
      </c>
    </row>
    <row r="289" spans="1:28" x14ac:dyDescent="0.3">
      <c r="A289" s="7">
        <v>288</v>
      </c>
      <c r="B289" s="3" t="s">
        <v>11</v>
      </c>
      <c r="C289" s="6">
        <v>46006.09375</v>
      </c>
      <c r="D289" s="6">
        <v>46006.614583333336</v>
      </c>
      <c r="E289" s="6">
        <v>46006.760416666664</v>
      </c>
      <c r="F289" s="3" t="s">
        <v>10</v>
      </c>
      <c r="G289" s="3" t="s">
        <v>9</v>
      </c>
      <c r="H289" s="3" t="s">
        <v>7</v>
      </c>
      <c r="I289" s="3" t="s">
        <v>8</v>
      </c>
      <c r="J289" s="3" t="s">
        <v>8</v>
      </c>
      <c r="K289" s="3" t="s">
        <v>7</v>
      </c>
      <c r="L289" s="3" t="s">
        <v>6</v>
      </c>
      <c r="M289" s="3" t="s">
        <v>5</v>
      </c>
      <c r="N289" s="3" t="s">
        <v>4</v>
      </c>
      <c r="O289" s="3">
        <v>6</v>
      </c>
      <c r="P289" s="4">
        <f>O289/100</f>
        <v>0.06</v>
      </c>
      <c r="Q289" s="5">
        <f>S288</f>
        <v>44210.144207663943</v>
      </c>
      <c r="R289" s="5">
        <f>Q289*P289*$T$1</f>
        <v>3978.9129786897547</v>
      </c>
      <c r="S289" s="5">
        <f>R289+Q289</f>
        <v>48189.057186353697</v>
      </c>
      <c r="T289" s="5"/>
      <c r="U289" s="4"/>
      <c r="V289" s="3"/>
      <c r="W289" s="3"/>
      <c r="X289" s="3" t="s">
        <v>3</v>
      </c>
      <c r="Y289" s="3" t="s">
        <v>2</v>
      </c>
      <c r="Z289" s="3" t="s">
        <v>1</v>
      </c>
      <c r="AA289" s="3" t="s">
        <v>0</v>
      </c>
      <c r="AB289" s="2">
        <v>45992</v>
      </c>
    </row>
  </sheetData>
  <conditionalFormatting sqref="P2:P289 T2:U289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R2:R28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4_coin_portfolio_all_trades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Krystian</dc:creator>
  <cp:lastModifiedBy>Krystian</cp:lastModifiedBy>
  <dcterms:created xsi:type="dcterms:W3CDTF">2025-12-16T19:04:37Z</dcterms:created>
  <dcterms:modified xsi:type="dcterms:W3CDTF">2025-12-16T19:05:00Z</dcterms:modified>
</cp:coreProperties>
</file>